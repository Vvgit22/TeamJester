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summary" sheetId="1" state="visible" r:id="rId1"/>
    <sheet xmlns:r="http://schemas.openxmlformats.org/officeDocument/2006/relationships" name="Markers (per image)" sheetId="2" state="visible" r:id="rId2"/>
    <sheet xmlns:r="http://schemas.openxmlformats.org/officeDocument/2006/relationships" name="Batch differences" sheetId="3" state="visible" r:id="rId3"/>
    <sheet xmlns:r="http://schemas.openxmlformats.org/officeDocument/2006/relationships" name="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" customWidth="1" min="3" max="3"/>
    <col width="22" customWidth="1" min="4" max="4"/>
    <col width="22" customWidth="1" min="5" max="5"/>
    <col width="22" customWidth="1" min="6" max="6"/>
    <col width="22" customWidth="1" min="7" max="7"/>
    <col width="21" customWidth="1" min="8" max="8"/>
  </cols>
  <sheetData>
    <row r="1">
      <c r="A1" s="1" t="inlineStr">
        <is>
          <t>batch</t>
        </is>
      </c>
      <c r="B1" s="1" t="inlineStr">
        <is>
          <t>marker</t>
        </is>
      </c>
      <c r="C1" s="1" t="inlineStr">
        <is>
          <t>n</t>
        </is>
      </c>
      <c r="D1" s="1" t="inlineStr">
        <is>
          <t>median</t>
        </is>
      </c>
      <c r="E1" s="1" t="inlineStr">
        <is>
          <t>iqr_lo</t>
        </is>
      </c>
      <c r="F1" s="1" t="inlineStr">
        <is>
          <t>iqr_hi</t>
        </is>
      </c>
      <c r="G1" s="1" t="inlineStr">
        <is>
          <t>ci95_lo</t>
        </is>
      </c>
      <c r="H1" s="1" t="inlineStr">
        <is>
          <t>ci95_hi</t>
        </is>
      </c>
    </row>
    <row r="2">
      <c r="A2" t="inlineStr">
        <is>
          <t>Batch_eval</t>
        </is>
      </c>
      <c r="B2" t="inlineStr">
        <is>
          <t>pore_frac_resolved</t>
        </is>
      </c>
      <c r="C2" t="n">
        <v>6</v>
      </c>
      <c r="D2" t="n">
        <v>0.1006696718933142</v>
      </c>
      <c r="E2" t="n">
        <v>0.08996548641689182</v>
      </c>
      <c r="F2" t="n">
        <v>0.1076436356174327</v>
      </c>
      <c r="G2" t="n">
        <v>0.08768191509740264</v>
      </c>
      <c r="H2" t="n">
        <v>0.1060138074073926</v>
      </c>
    </row>
    <row r="3">
      <c r="A3" t="inlineStr">
        <is>
          <t>Batch_eval</t>
        </is>
      </c>
      <c r="B3" t="inlineStr">
        <is>
          <t>si_frac_total</t>
        </is>
      </c>
      <c r="C3" t="n">
        <v>6</v>
      </c>
      <c r="D3" t="n">
        <v>0.05857399417165775</v>
      </c>
      <c r="E3" t="n">
        <v>0.05337886724520552</v>
      </c>
      <c r="F3" t="n">
        <v>0.06116862078557241</v>
      </c>
      <c r="G3" t="n">
        <v>0.05025415752612891</v>
      </c>
      <c r="H3" t="n">
        <v>0.06555171473290027</v>
      </c>
    </row>
    <row r="4">
      <c r="A4" t="inlineStr">
        <is>
          <t>Batch_eval</t>
        </is>
      </c>
      <c r="B4" t="inlineStr">
        <is>
          <t>bright_fine_frac</t>
        </is>
      </c>
      <c r="C4" t="n">
        <v>6</v>
      </c>
      <c r="D4" t="n">
        <v>0.0151398670436831</v>
      </c>
      <c r="E4" t="n">
        <v>0.01396061260097958</v>
      </c>
      <c r="F4" t="n">
        <v>0.0190250550621483</v>
      </c>
      <c r="G4" t="n">
        <v>0.01282795282061982</v>
      </c>
      <c r="H4" t="n">
        <v>0.02064638250805272</v>
      </c>
    </row>
    <row r="5">
      <c r="A5" t="inlineStr">
        <is>
          <t>Batch_eval</t>
        </is>
      </c>
      <c r="B5" t="inlineStr">
        <is>
          <t>si_d50_aw_um</t>
        </is>
      </c>
      <c r="C5" t="n">
        <v>6</v>
      </c>
      <c r="D5" t="n">
        <v>2.573361501978381</v>
      </c>
      <c r="E5" t="n">
        <v>2.425872029431674</v>
      </c>
      <c r="F5" t="n">
        <v>2.786538032828747</v>
      </c>
      <c r="G5" t="n">
        <v>2.452008928021109</v>
      </c>
      <c r="H5" t="n">
        <v>2.843583631481009</v>
      </c>
    </row>
    <row r="6">
      <c r="A6" t="inlineStr">
        <is>
          <t>Batch_eval</t>
        </is>
      </c>
      <c r="B6" t="inlineStr">
        <is>
          <t>si_d90_aw_um</t>
        </is>
      </c>
      <c r="C6" t="n">
        <v>6</v>
      </c>
      <c r="D6" t="n">
        <v>5.083405445743809</v>
      </c>
      <c r="E6" t="n">
        <v>4.483219314019131</v>
      </c>
      <c r="F6" t="n">
        <v>5.234322642101339</v>
      </c>
      <c r="G6" t="n">
        <v>4.489888308396971</v>
      </c>
      <c r="H6" t="n">
        <v>5.237263007875234</v>
      </c>
    </row>
    <row r="7">
      <c r="A7" t="inlineStr">
        <is>
          <t>Batch_eval</t>
        </is>
      </c>
      <c r="B7" t="inlineStr">
        <is>
          <t>si_radius_3d_um</t>
        </is>
      </c>
      <c r="C7" t="n">
        <v>6</v>
      </c>
      <c r="D7" t="n">
        <v>1.725274274092932</v>
      </c>
      <c r="E7" t="n">
        <v>1.610806802106022</v>
      </c>
      <c r="F7" t="n">
        <v>1.834652889983278</v>
      </c>
      <c r="G7" t="n">
        <v>1.620947324618905</v>
      </c>
      <c r="H7" t="n">
        <v>1.83313623523784</v>
      </c>
    </row>
    <row r="8">
      <c r="A8" t="inlineStr">
        <is>
          <t>Batch_eval</t>
        </is>
      </c>
      <c r="B8" t="inlineStr">
        <is>
          <t>si_sv_um_inv</t>
        </is>
      </c>
      <c r="C8" t="n">
        <v>6</v>
      </c>
      <c r="D8" t="n">
        <v>0.6039950024490107</v>
      </c>
      <c r="E8" t="n">
        <v>0.4356505324730313</v>
      </c>
      <c r="F8" t="n">
        <v>0.6400323640717248</v>
      </c>
      <c r="G8" t="n">
        <v>0.4510403555090838</v>
      </c>
      <c r="H8" t="n">
        <v>0.6334210699885345</v>
      </c>
    </row>
    <row r="9">
      <c r="A9" t="inlineStr">
        <is>
          <t>Batch_eval</t>
        </is>
      </c>
      <c r="B9" t="inlineStr">
        <is>
          <t>si_clustering_R</t>
        </is>
      </c>
      <c r="C9" t="n">
        <v>6</v>
      </c>
      <c r="D9" t="n">
        <v>0.6642762722747124</v>
      </c>
      <c r="E9" t="n">
        <v>0.64870008765826</v>
      </c>
      <c r="F9" t="n">
        <v>0.7252181218528923</v>
      </c>
      <c r="G9" t="n">
        <v>0.6488623771040162</v>
      </c>
      <c r="H9" t="n">
        <v>0.7349320518400201</v>
      </c>
    </row>
    <row r="10">
      <c r="A10" t="inlineStr">
        <is>
          <t>Batch_eval</t>
        </is>
      </c>
      <c r="B10" t="inlineStr">
        <is>
          <t>gr_radius_eff_um</t>
        </is>
      </c>
      <c r="C10" t="n">
        <v>6</v>
      </c>
      <c r="D10" t="n">
        <v>3.327883695068785</v>
      </c>
      <c r="E10" t="n">
        <v>3.134601422903516</v>
      </c>
      <c r="F10" t="n">
        <v>3.45483110789733</v>
      </c>
      <c r="G10" t="n">
        <v>3.170674840924824</v>
      </c>
      <c r="H10" t="n">
        <v>3.475682636255741</v>
      </c>
    </row>
    <row r="11">
      <c r="A11" t="inlineStr">
        <is>
          <t>Batch_eval</t>
        </is>
      </c>
      <c r="B11" t="inlineStr">
        <is>
          <t>gr_chord_ratio_xz</t>
        </is>
      </c>
      <c r="C11" t="n">
        <v>6</v>
      </c>
      <c r="D11" t="n">
        <v>1.215153118733118</v>
      </c>
      <c r="E11" t="n">
        <v>1.196714106993592</v>
      </c>
      <c r="F11" t="n">
        <v>1.259200204258141</v>
      </c>
      <c r="G11" t="n">
        <v>1.194816829859659</v>
      </c>
      <c r="H11" t="n">
        <v>1.255969824004923</v>
      </c>
    </row>
    <row r="12">
      <c r="A12" t="inlineStr">
        <is>
          <t>Batch_eval</t>
        </is>
      </c>
      <c r="B12" t="inlineStr">
        <is>
          <t>pore_anisotropy</t>
        </is>
      </c>
      <c r="C12" t="n">
        <v>6</v>
      </c>
      <c r="D12" t="n">
        <v>1.217021150838585</v>
      </c>
      <c r="E12" t="n">
        <v>1.207161316973612</v>
      </c>
      <c r="F12" t="n">
        <v>1.241949569920621</v>
      </c>
      <c r="G12" t="n">
        <v>1.190747411750449</v>
      </c>
      <c r="H12" t="n">
        <v>1.246278841750953</v>
      </c>
    </row>
    <row r="13">
      <c r="A13" t="inlineStr">
        <is>
          <t>Batch_eval</t>
        </is>
      </c>
      <c r="B13" t="inlineStr">
        <is>
          <t>crack_frac_v</t>
        </is>
      </c>
      <c r="C13" t="n">
        <v>6</v>
      </c>
      <c r="D13" t="n">
        <v>0.01027794384285825</v>
      </c>
      <c r="E13" t="n">
        <v>0.00934403378352845</v>
      </c>
      <c r="F13" t="n">
        <v>0.0117958192958326</v>
      </c>
      <c r="G13" t="n">
        <v>0.008923931522370223</v>
      </c>
      <c r="H13" t="n">
        <v>0.0124669018293027</v>
      </c>
    </row>
    <row r="14">
      <c r="A14" t="inlineStr">
        <is>
          <t>Batch_eval</t>
        </is>
      </c>
      <c r="B14" t="inlineStr">
        <is>
          <t>percolation_reach_2d</t>
        </is>
      </c>
      <c r="C14" t="n">
        <v>6</v>
      </c>
      <c r="D14" t="n">
        <v>0.02857798149780025</v>
      </c>
      <c r="E14" t="n">
        <v>0.0216654678947268</v>
      </c>
      <c r="F14" t="n">
        <v>0.07104648210065143</v>
      </c>
      <c r="G14" t="n">
        <v>0.02265719283426945</v>
      </c>
      <c r="H14" t="n">
        <v>0.07079307292560867</v>
      </c>
    </row>
    <row r="15">
      <c r="A15" t="inlineStr">
        <is>
          <t>Batch_eval</t>
        </is>
      </c>
      <c r="B15" t="inlineStr">
        <is>
          <t>pore_largest_region_frac</t>
        </is>
      </c>
      <c r="C15" t="n">
        <v>6</v>
      </c>
      <c r="D15" t="n">
        <v>0.05487294521611885</v>
      </c>
      <c r="E15" t="n">
        <v>0.04635383126630348</v>
      </c>
      <c r="F15" t="n">
        <v>0.0637931665715321</v>
      </c>
      <c r="G15" t="n">
        <v>0.04582986091632606</v>
      </c>
      <c r="H15" t="n">
        <v>0.07174823189877447</v>
      </c>
    </row>
    <row r="16">
      <c r="A16" t="inlineStr">
        <is>
          <t>Batch_eval</t>
        </is>
      </c>
      <c r="B16" t="inlineStr">
        <is>
          <t>bruggeman_b_eff</t>
        </is>
      </c>
      <c r="C16" t="n">
        <v>6</v>
      </c>
      <c r="D16" t="n">
        <v>1.26795388711179</v>
      </c>
      <c r="E16" t="n">
        <v>1.195134254866556</v>
      </c>
      <c r="F16" t="n">
        <v>1.373261998053894</v>
      </c>
      <c r="G16" t="n">
        <v>1.21655228197612</v>
      </c>
      <c r="H16" t="n">
        <v>1.367093140741145</v>
      </c>
    </row>
    <row r="17">
      <c r="A17" t="inlineStr">
        <is>
          <t>Batch_eval</t>
        </is>
      </c>
      <c r="B17" t="inlineStr">
        <is>
          <t>si_pore_dist_mean_um</t>
        </is>
      </c>
      <c r="C17" t="n">
        <v>6</v>
      </c>
      <c r="D17" t="n">
        <v>0.5464596527714538</v>
      </c>
      <c r="E17" t="n">
        <v>0.5141144922321064</v>
      </c>
      <c r="F17" t="n">
        <v>0.5556862687652555</v>
      </c>
      <c r="G17" t="n">
        <v>0.5005426753561529</v>
      </c>
      <c r="H17" t="n">
        <v>0.5774563594488225</v>
      </c>
    </row>
    <row r="18">
      <c r="A18" t="inlineStr">
        <is>
          <t>Batch_eval</t>
        </is>
      </c>
      <c r="B18" t="inlineStr">
        <is>
          <t>si_lowcoverage_share</t>
        </is>
      </c>
      <c r="C18" t="n">
        <v>6</v>
      </c>
      <c r="D18" t="n">
        <v>0.8466257668711656</v>
      </c>
      <c r="E18" t="n">
        <v>0.8325826922452689</v>
      </c>
      <c r="F18" t="n">
        <v>0.8733428531133206</v>
      </c>
      <c r="G18" t="n">
        <v>0.8283563422314879</v>
      </c>
      <c r="H18" t="n">
        <v>0.8928526602000697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6" customWidth="1" min="4" max="4"/>
    <col width="10" customWidth="1" min="5" max="5"/>
    <col width="20" customWidth="1" min="6" max="6"/>
    <col width="14" customWidth="1" min="7" max="7"/>
    <col width="15" customWidth="1" min="8" max="8"/>
    <col width="17" customWidth="1" min="9" max="9"/>
    <col width="18" customWidth="1" min="10" max="10"/>
    <col width="9" customWidth="1" min="11" max="11"/>
    <col width="18" customWidth="1" min="12" max="12"/>
    <col width="12" customWidth="1" min="13" max="13"/>
    <col width="21" customWidth="1" min="14" max="14"/>
    <col width="15" customWidth="1" min="15" max="15"/>
    <col width="15" customWidth="1" min="16" max="16"/>
    <col width="15" customWidth="1" min="17" max="17"/>
    <col width="14" customWidth="1" min="18" max="18"/>
    <col width="14" customWidth="1" min="19" max="19"/>
    <col width="16" customWidth="1" min="20" max="20"/>
    <col width="12" customWidth="1" min="21" max="21"/>
    <col width="15" customWidth="1" min="22" max="22"/>
    <col width="15" customWidth="1" min="23" max="23"/>
    <col width="17" customWidth="1" min="24" max="24"/>
    <col width="18" customWidth="1" min="25" max="25"/>
    <col width="16" customWidth="1" min="26" max="26"/>
    <col width="17" customWidth="1" min="27" max="27"/>
    <col width="15" customWidth="1" min="28" max="28"/>
    <col width="15" customWidth="1" min="29" max="29"/>
    <col width="17" customWidth="1" min="30" max="30"/>
    <col width="22" customWidth="1" min="31" max="31"/>
    <col width="21" customWidth="1" min="32" max="32"/>
    <col width="19" customWidth="1" min="33" max="33"/>
    <col width="21" customWidth="1" min="34" max="34"/>
    <col width="22" customWidth="1" min="35" max="35"/>
    <col width="24" customWidth="1" min="36" max="36"/>
    <col width="18" customWidth="1" min="37" max="37"/>
    <col width="17" customWidth="1" min="38" max="38"/>
    <col width="22" customWidth="1" min="39" max="39"/>
    <col width="20" customWidth="1" min="40" max="40"/>
    <col width="14" customWidth="1" min="41" max="41"/>
    <col width="14" customWidth="1" min="42" max="42"/>
    <col width="18" customWidth="1" min="43" max="43"/>
    <col width="19" customWidth="1" min="44" max="44"/>
    <col width="13" customWidth="1" min="45" max="45"/>
    <col width="20" customWidth="1" min="46" max="46"/>
    <col width="15" customWidth="1" min="47" max="47"/>
    <col width="14" customWidth="1" min="48" max="48"/>
    <col width="14" customWidth="1" min="49" max="49"/>
    <col width="17" customWidth="1" min="50" max="50"/>
    <col width="21" customWidth="1" min="51" max="51"/>
    <col width="17" customWidth="1" min="52" max="52"/>
    <col width="17" customWidth="1" min="53" max="53"/>
    <col width="17" customWidth="1" min="54" max="54"/>
    <col width="20" customWidth="1" min="55" max="55"/>
    <col width="22" customWidth="1" min="56" max="56"/>
    <col width="16" customWidth="1" min="57" max="57"/>
    <col width="22" customWidth="1" min="58" max="58"/>
    <col width="26" customWidth="1" min="59" max="59"/>
    <col width="17" customWidth="1" min="60" max="60"/>
    <col width="18" customWidth="1" min="61" max="61"/>
    <col width="18" customWidth="1" min="62" max="62"/>
    <col width="16" customWidth="1" min="63" max="63"/>
    <col width="8" customWidth="1" min="64" max="64"/>
    <col width="9" customWidth="1" min="65" max="65"/>
    <col width="9" customWidth="1" min="66" max="66"/>
    <col width="18" customWidth="1" min="67" max="67"/>
    <col width="11" customWidth="1" min="68" max="68"/>
    <col width="18" customWidth="1" min="69" max="69"/>
    <col width="15" customWidth="1" min="70" max="70"/>
    <col width="12" customWidth="1" min="71" max="71"/>
    <col width="15" customWidth="1" min="72" max="72"/>
    <col width="20" customWidth="1" min="73" max="73"/>
    <col width="18" customWidth="1" min="74" max="74"/>
    <col width="18" customWidth="1" min="75" max="75"/>
  </cols>
  <sheetData>
    <row r="1">
      <c r="A1" s="1" t="inlineStr">
        <is>
          <t>batch</t>
        </is>
      </c>
      <c r="B1" s="1" t="inlineStr">
        <is>
          <t>image_id</t>
        </is>
      </c>
      <c r="C1" s="1" t="inlineStr">
        <is>
          <t>h_px</t>
        </is>
      </c>
      <c r="D1" s="1" t="inlineStr">
        <is>
          <t>w_px</t>
        </is>
      </c>
      <c r="E1" s="1" t="inlineStr">
        <is>
          <t>n_px</t>
        </is>
      </c>
      <c r="F1" s="1" t="inlineStr">
        <is>
          <t>pore_frac_resolved</t>
        </is>
      </c>
      <c r="G1" s="1" t="inlineStr">
        <is>
          <t>porosity_est</t>
        </is>
      </c>
      <c r="H1" s="1" t="inlineStr">
        <is>
          <t>si_frac_total</t>
        </is>
      </c>
      <c r="I1" s="1" t="inlineStr">
        <is>
          <t>bright_frac_raw</t>
        </is>
      </c>
      <c r="J1" s="1" t="inlineStr">
        <is>
          <t>bright_fine_frac</t>
        </is>
      </c>
      <c r="K1" s="1" t="inlineStr">
        <is>
          <t>gr_frac</t>
        </is>
      </c>
      <c r="L1" s="1" t="inlineStr">
        <is>
          <t>si_frac_of_solid</t>
        </is>
      </c>
      <c r="M1" s="1" t="inlineStr">
        <is>
          <t>si_per_mpx</t>
        </is>
      </c>
      <c r="N1" s="1" t="inlineStr">
        <is>
          <t>bright_fine_per_mpx</t>
        </is>
      </c>
      <c r="O1" s="1" t="inlineStr">
        <is>
          <t>si_d10_num_um</t>
        </is>
      </c>
      <c r="P1" s="1" t="inlineStr">
        <is>
          <t>si_d50_num_um</t>
        </is>
      </c>
      <c r="Q1" s="1" t="inlineStr">
        <is>
          <t>si_d90_num_um</t>
        </is>
      </c>
      <c r="R1" s="1" t="inlineStr">
        <is>
          <t>si_d50_aw_um</t>
        </is>
      </c>
      <c r="S1" s="1" t="inlineStr">
        <is>
          <t>si_d90_aw_um</t>
        </is>
      </c>
      <c r="T1" s="1" t="inlineStr">
        <is>
          <t>si_dmean_aw_um</t>
        </is>
      </c>
      <c r="U1" s="1" t="inlineStr">
        <is>
          <t>si_dmax_um</t>
        </is>
      </c>
      <c r="V1" s="1" t="inlineStr">
        <is>
          <t>si_frac_gt3um</t>
        </is>
      </c>
      <c r="W1" s="1" t="inlineStr">
        <is>
          <t>si_frac_gt5um</t>
        </is>
      </c>
      <c r="X1" s="1" t="inlineStr">
        <is>
          <t>si_radius_3d_um</t>
        </is>
      </c>
      <c r="Y1" s="1" t="inlineStr">
        <is>
          <t>si_solidity_mean</t>
        </is>
      </c>
      <c r="Z1" s="1" t="inlineStr">
        <is>
          <t>si_aspect_mean</t>
        </is>
      </c>
      <c r="AA1" s="1" t="inlineStr">
        <is>
          <t>si_clustering_R</t>
        </is>
      </c>
      <c r="AB1" s="1" t="inlineStr">
        <is>
          <t>si_nn_dist_um</t>
        </is>
      </c>
      <c r="AC1" s="1" t="inlineStr">
        <is>
          <t>si_patchiness</t>
        </is>
      </c>
      <c r="AD1" s="1" t="inlineStr">
        <is>
          <t>si_pore_contact</t>
        </is>
      </c>
      <c r="AE1" s="1" t="inlineStr">
        <is>
          <t>si_pore_dist_mean_um</t>
        </is>
      </c>
      <c r="AF1" s="1" t="inlineStr">
        <is>
          <t>contact_population</t>
        </is>
      </c>
      <c r="AG1" s="1" t="inlineStr">
        <is>
          <t>si_enclosed_share</t>
        </is>
      </c>
      <c r="AH1" s="1" t="inlineStr">
        <is>
          <t>si_contact_num_frac</t>
        </is>
      </c>
      <c r="AI1" s="1" t="inlineStr">
        <is>
          <t>si_contact_area_frac</t>
        </is>
      </c>
      <c r="AJ1" s="1" t="inlineStr">
        <is>
          <t>si_area_near_pore_frac</t>
        </is>
      </c>
      <c r="AK1" s="1" t="inlineStr">
        <is>
          <t>si_coverage_mean</t>
        </is>
      </c>
      <c r="AL1" s="1" t="inlineStr">
        <is>
          <t>si_coverage_p10</t>
        </is>
      </c>
      <c r="AM1" s="1" t="inlineStr">
        <is>
          <t>si_lowcoverage_share</t>
        </is>
      </c>
      <c r="AN1" s="1" t="inlineStr">
        <is>
          <t>si_accessible_frac</t>
        </is>
      </c>
      <c r="AO1" s="1" t="inlineStr">
        <is>
          <t>si_sv_um_inv</t>
        </is>
      </c>
      <c r="AP1" s="1" t="inlineStr">
        <is>
          <t>gr_sv_um_inv</t>
        </is>
      </c>
      <c r="AQ1" s="1" t="inlineStr">
        <is>
          <t>gr_radius_eff_um</t>
        </is>
      </c>
      <c r="AR1" s="1" t="inlineStr">
        <is>
          <t>gr_chord_ratio_xz</t>
        </is>
      </c>
      <c r="AS1" s="1" t="inlineStr">
        <is>
          <t>pore_d50_um</t>
        </is>
      </c>
      <c r="AT1" s="1" t="inlineStr">
        <is>
          <t>pore_count_per_mpx</t>
        </is>
      </c>
      <c r="AU1" s="1" t="inlineStr">
        <is>
          <t>big_void_frac</t>
        </is>
      </c>
      <c r="AV1" s="1" t="inlineStr">
        <is>
          <t>crack_frac_h</t>
        </is>
      </c>
      <c r="AW1" s="1" t="inlineStr">
        <is>
          <t>crack_frac_v</t>
        </is>
      </c>
      <c r="AX1" s="1" t="inlineStr">
        <is>
          <t>round_pore_frac</t>
        </is>
      </c>
      <c r="AY1" s="1" t="inlineStr">
        <is>
          <t>pore_verticality_aw</t>
        </is>
      </c>
      <c r="AZ1" s="1" t="inlineStr">
        <is>
          <t>pore_chord_h_um</t>
        </is>
      </c>
      <c r="BA1" s="1" t="inlineStr">
        <is>
          <t>pore_chord_v_um</t>
        </is>
      </c>
      <c r="BB1" s="1" t="inlineStr">
        <is>
          <t>pore_anisotropy</t>
        </is>
      </c>
      <c r="BC1" s="1" t="inlineStr">
        <is>
          <t>tau_vertical_proxy</t>
        </is>
      </c>
      <c r="BD1" s="1" t="inlineStr">
        <is>
          <t>tau_horizontal_proxy</t>
        </is>
      </c>
      <c r="BE1" s="1" t="inlineStr">
        <is>
          <t>tau_anisotropy</t>
        </is>
      </c>
      <c r="BF1" s="1" t="inlineStr">
        <is>
          <t>percolation_reach_2d</t>
        </is>
      </c>
      <c r="BG1" s="1" t="inlineStr">
        <is>
          <t>pore_largest_region_frac</t>
        </is>
      </c>
      <c r="BH1" s="1" t="inlineStr">
        <is>
          <t>bruggeman_b_eff</t>
        </is>
      </c>
      <c r="BI1" s="1" t="inlineStr">
        <is>
          <t>corr_len_pore_um</t>
        </is>
      </c>
      <c r="BJ1" s="1" t="inlineStr">
        <is>
          <t>corr_len_bulk_um</t>
        </is>
      </c>
      <c r="BK1" s="1" t="inlineStr">
        <is>
          <t>corr_len_si_um</t>
        </is>
      </c>
      <c r="BL1" s="1" t="inlineStr">
        <is>
          <t>img_p1</t>
        </is>
      </c>
      <c r="BM1" s="1" t="inlineStr">
        <is>
          <t>img_p50</t>
        </is>
      </c>
      <c r="BN1" s="1" t="inlineStr">
        <is>
          <t>img_p99</t>
        </is>
      </c>
      <c r="BO1" s="1" t="inlineStr">
        <is>
          <t>si_bulk_contrast</t>
        </is>
      </c>
      <c r="BP1" s="1" t="inlineStr">
        <is>
          <t>noise_mad</t>
        </is>
      </c>
      <c r="BQ1" s="1" t="inlineStr">
        <is>
          <t>sharpness_lapvar</t>
        </is>
      </c>
      <c r="BR1" s="1" t="inlineStr">
        <is>
          <t>shading_slope</t>
        </is>
      </c>
      <c r="BS1" s="1" t="inlineStr">
        <is>
          <t>has_inlens</t>
        </is>
      </c>
      <c r="BT1" s="1" t="inlineStr">
        <is>
          <t>has_etd_or_se</t>
        </is>
      </c>
      <c r="BU1" s="1" t="inlineStr">
        <is>
          <t>pore_frac_tile_err</t>
        </is>
      </c>
      <c r="BV1" s="1" t="inlineStr">
        <is>
          <t>si_frac_tile_err</t>
        </is>
      </c>
      <c r="BW1" s="1" t="inlineStr">
        <is>
          <t>is_problem_photo</t>
        </is>
      </c>
    </row>
    <row r="2">
      <c r="A2" t="inlineStr">
        <is>
          <t>Batch_eval</t>
        </is>
      </c>
      <c r="B2" t="inlineStr">
        <is>
          <t>img_0eryguqq</t>
        </is>
      </c>
      <c r="C2" t="n">
        <v>1612</v>
      </c>
      <c r="D2" t="n">
        <v>6998</v>
      </c>
      <c r="E2" t="n">
        <v>11280776</v>
      </c>
      <c r="F2" t="n">
        <v>0.08803</v>
      </c>
      <c r="G2" t="n">
        <v>0.31303</v>
      </c>
      <c r="H2" t="n">
        <v>0.05243</v>
      </c>
      <c r="I2" t="n">
        <v>0.08026999999999999</v>
      </c>
      <c r="J2" t="n">
        <v>0.02008</v>
      </c>
      <c r="K2" t="n">
        <v>0.83169</v>
      </c>
      <c r="L2" t="n">
        <v>0.05749</v>
      </c>
      <c r="M2" t="n">
        <v>28.89872</v>
      </c>
      <c r="N2" t="n">
        <v>60.45683</v>
      </c>
      <c r="O2" t="n">
        <v>0.36509</v>
      </c>
      <c r="P2" t="n">
        <v>0.54882</v>
      </c>
      <c r="Q2" t="n">
        <v>1.81121</v>
      </c>
      <c r="R2" t="n">
        <v>2.62469</v>
      </c>
      <c r="S2" t="n">
        <v>5.32771</v>
      </c>
      <c r="T2" t="n">
        <v>2.76605</v>
      </c>
      <c r="U2" t="n">
        <v>5.52927</v>
      </c>
      <c r="V2" t="n">
        <v>0.42467</v>
      </c>
      <c r="W2" t="n">
        <v>0.12527</v>
      </c>
      <c r="X2" t="n">
        <v>1.76181</v>
      </c>
      <c r="Y2" t="n">
        <v>0.85717</v>
      </c>
      <c r="Z2" t="n">
        <v>1.9162</v>
      </c>
      <c r="AA2" t="n">
        <v>0.78567</v>
      </c>
      <c r="AB2" t="n">
        <v>1.88258</v>
      </c>
      <c r="AC2" t="n">
        <v>0.30974</v>
      </c>
      <c r="AD2" t="n">
        <v>0.02129</v>
      </c>
      <c r="AE2" t="n">
        <v>0.55175</v>
      </c>
      <c r="AF2" t="inlineStr">
        <is>
          <t>watershed_particles</t>
        </is>
      </c>
      <c r="AG2" t="n">
        <v>0.72393</v>
      </c>
      <c r="AH2" t="n">
        <v>0.27607</v>
      </c>
      <c r="AI2" t="n">
        <v>0.30855</v>
      </c>
      <c r="AJ2" t="n">
        <v>0.00136</v>
      </c>
      <c r="AK2" t="n">
        <v>0.02405</v>
      </c>
      <c r="AL2" t="n">
        <v>0</v>
      </c>
      <c r="AM2" t="n">
        <v>0.84356</v>
      </c>
      <c r="AN2" t="n">
        <v>0.30855</v>
      </c>
      <c r="AO2" t="n">
        <v>0.61573</v>
      </c>
      <c r="AP2" t="n">
        <v>0.69234</v>
      </c>
      <c r="AQ2" t="n">
        <v>3.60384</v>
      </c>
      <c r="AR2" t="n">
        <v>1.27134</v>
      </c>
      <c r="AS2" t="n">
        <v>0.26008</v>
      </c>
      <c r="AT2" t="n">
        <v>114.35384</v>
      </c>
      <c r="AU2" t="n">
        <v>0.00578</v>
      </c>
      <c r="AV2" t="n">
        <v>0.02854</v>
      </c>
      <c r="AW2" t="n">
        <v>0.01214</v>
      </c>
      <c r="AX2" t="n">
        <v>0.04156</v>
      </c>
      <c r="AY2" t="n">
        <v>0.3824</v>
      </c>
      <c r="AZ2" t="n">
        <v>0.56884</v>
      </c>
      <c r="BA2" t="n">
        <v>0.45512</v>
      </c>
      <c r="BB2" t="n">
        <v>1.24986</v>
      </c>
      <c r="BC2" t="n">
        <v>2.55065</v>
      </c>
      <c r="BD2" t="n">
        <v>1.54757</v>
      </c>
      <c r="BE2" t="n">
        <v>1.64816</v>
      </c>
      <c r="BF2" t="n">
        <v>0.02646</v>
      </c>
      <c r="BG2" t="n">
        <v>0.06568</v>
      </c>
      <c r="BH2" t="n">
        <v>1.38532</v>
      </c>
      <c r="BI2" t="n">
        <v>0.55</v>
      </c>
      <c r="BJ2" t="n">
        <v>0.725</v>
      </c>
      <c r="BK2" t="n">
        <v>1.475</v>
      </c>
      <c r="BL2" t="n">
        <v>4</v>
      </c>
      <c r="BM2" t="n">
        <v>57</v>
      </c>
      <c r="BN2" t="n">
        <v>131</v>
      </c>
      <c r="BO2" t="n">
        <v>2.50453</v>
      </c>
      <c r="BP2" t="n">
        <v>9.94829</v>
      </c>
      <c r="BQ2" t="n">
        <v>51.15725</v>
      </c>
      <c r="BR2" t="n">
        <v>-0.00034</v>
      </c>
      <c r="BS2" t="n">
        <v>1</v>
      </c>
      <c r="BT2" t="n">
        <v>1</v>
      </c>
      <c r="BU2" t="n">
        <v>0.01185</v>
      </c>
      <c r="BV2" t="n">
        <v>0.01778</v>
      </c>
      <c r="BW2" t="n">
        <v>0</v>
      </c>
    </row>
    <row r="3">
      <c r="A3" t="inlineStr">
        <is>
          <t>Batch_eval</t>
        </is>
      </c>
      <c r="B3" t="inlineStr">
        <is>
          <t>img_4hq27w4c</t>
        </is>
      </c>
      <c r="C3" t="n">
        <v>2148</v>
      </c>
      <c r="D3" t="n">
        <v>6998</v>
      </c>
      <c r="E3" t="n">
        <v>15031704</v>
      </c>
      <c r="F3" t="n">
        <v>0.07701</v>
      </c>
      <c r="G3" t="n">
        <v>0.30201</v>
      </c>
      <c r="H3" t="n">
        <v>0.07446999999999999</v>
      </c>
      <c r="I3" t="n">
        <v>0.09704</v>
      </c>
      <c r="J3" t="n">
        <v>0.01441</v>
      </c>
      <c r="K3" t="n">
        <v>0.82595</v>
      </c>
      <c r="L3" t="n">
        <v>0.08068</v>
      </c>
      <c r="M3" t="n">
        <v>32.99692</v>
      </c>
      <c r="N3" t="n">
        <v>47.36655</v>
      </c>
      <c r="O3" t="n">
        <v>0.37424</v>
      </c>
      <c r="P3" t="n">
        <v>0.60929</v>
      </c>
      <c r="Q3" t="n">
        <v>2.08512</v>
      </c>
      <c r="R3" t="n">
        <v>2.84049</v>
      </c>
      <c r="S3" t="n">
        <v>5.10747</v>
      </c>
      <c r="T3" t="n">
        <v>2.91852</v>
      </c>
      <c r="U3" t="n">
        <v>6.04236</v>
      </c>
      <c r="V3" t="n">
        <v>0.43653</v>
      </c>
      <c r="W3" t="n">
        <v>0.13106</v>
      </c>
      <c r="X3" t="n">
        <v>1.85893</v>
      </c>
      <c r="Y3" t="n">
        <v>0.86486</v>
      </c>
      <c r="Z3" t="n">
        <v>1.94312</v>
      </c>
      <c r="AA3" t="n">
        <v>0.64747</v>
      </c>
      <c r="AB3" t="n">
        <v>1.44072</v>
      </c>
      <c r="AC3" t="n">
        <v>0.31022</v>
      </c>
      <c r="AD3" t="n">
        <v>0.02879</v>
      </c>
      <c r="AE3" t="n">
        <v>0.50509</v>
      </c>
      <c r="AF3" t="inlineStr">
        <is>
          <t>watershed_particles</t>
        </is>
      </c>
      <c r="AG3" t="n">
        <v>0.65524</v>
      </c>
      <c r="AH3" t="n">
        <v>0.34476</v>
      </c>
      <c r="AI3" t="n">
        <v>0.3878</v>
      </c>
      <c r="AJ3" t="n">
        <v>0.00159</v>
      </c>
      <c r="AK3" t="n">
        <v>0.03575</v>
      </c>
      <c r="AL3" t="n">
        <v>0</v>
      </c>
      <c r="AM3" t="n">
        <v>0.80645</v>
      </c>
      <c r="AN3" t="n">
        <v>0.3878</v>
      </c>
      <c r="AO3" t="n">
        <v>0.59226</v>
      </c>
      <c r="AP3" t="n">
        <v>0.713</v>
      </c>
      <c r="AQ3" t="n">
        <v>3.47525</v>
      </c>
      <c r="AR3" t="n">
        <v>1.20751</v>
      </c>
      <c r="AS3" t="n">
        <v>0.21851</v>
      </c>
      <c r="AT3" t="n">
        <v>160.3278</v>
      </c>
      <c r="AU3" t="n">
        <v>0</v>
      </c>
      <c r="AV3" t="n">
        <v>0.02745</v>
      </c>
      <c r="AW3" t="n">
        <v>0.009809999999999999</v>
      </c>
      <c r="AX3" t="n">
        <v>0.03975</v>
      </c>
      <c r="AY3" t="n">
        <v>0.43705</v>
      </c>
      <c r="AZ3" t="n">
        <v>0.47556</v>
      </c>
      <c r="BA3" t="n">
        <v>0.39114</v>
      </c>
      <c r="BB3" t="n">
        <v>1.21583</v>
      </c>
      <c r="BC3" t="n">
        <v>1.64403</v>
      </c>
      <c r="BD3" t="n">
        <v>1.20279</v>
      </c>
      <c r="BE3" t="n">
        <v>1.36684</v>
      </c>
      <c r="BF3" t="n">
        <v>0.0307</v>
      </c>
      <c r="BG3" t="n">
        <v>0.0446</v>
      </c>
      <c r="BH3" t="n">
        <v>1.19391</v>
      </c>
      <c r="BI3" t="n">
        <v>0.45</v>
      </c>
      <c r="BJ3" t="n">
        <v>0.975</v>
      </c>
      <c r="BK3" t="n">
        <v>1.675</v>
      </c>
      <c r="BL3" t="n">
        <v>0</v>
      </c>
      <c r="BM3" t="n">
        <v>52</v>
      </c>
      <c r="BN3" t="n">
        <v>130</v>
      </c>
      <c r="BO3" t="n">
        <v>2.53462</v>
      </c>
      <c r="BP3" t="n">
        <v>11.04822</v>
      </c>
      <c r="BQ3" t="n">
        <v>60.36713</v>
      </c>
      <c r="BR3" t="n">
        <v>0.00228</v>
      </c>
      <c r="BS3" t="n">
        <v>1</v>
      </c>
      <c r="BT3" t="n">
        <v>1</v>
      </c>
      <c r="BU3" t="n">
        <v>0.008059999999999999</v>
      </c>
      <c r="BV3" t="n">
        <v>0.01883</v>
      </c>
      <c r="BW3" t="n">
        <v>0</v>
      </c>
    </row>
    <row r="4">
      <c r="A4" t="inlineStr">
        <is>
          <t>Batch_eval</t>
        </is>
      </c>
      <c r="B4" t="inlineStr">
        <is>
          <t>img_fhwrjtet</t>
        </is>
      </c>
      <c r="C4" t="n">
        <v>1612</v>
      </c>
      <c r="D4" t="n">
        <v>6998</v>
      </c>
      <c r="E4" t="n">
        <v>11280776</v>
      </c>
      <c r="F4" t="n">
        <v>0.09576999999999999</v>
      </c>
      <c r="G4" t="n">
        <v>0.32077</v>
      </c>
      <c r="H4" t="n">
        <v>0.06125</v>
      </c>
      <c r="I4" t="n">
        <v>0.09478</v>
      </c>
      <c r="J4" t="n">
        <v>0.02519</v>
      </c>
      <c r="K4" t="n">
        <v>0.80945</v>
      </c>
      <c r="L4" t="n">
        <v>0.06773999999999999</v>
      </c>
      <c r="M4" t="n">
        <v>28.89872</v>
      </c>
      <c r="N4" t="n">
        <v>62.67299</v>
      </c>
      <c r="O4" t="n">
        <v>0.36726</v>
      </c>
      <c r="P4" t="n">
        <v>0.5656</v>
      </c>
      <c r="Q4" t="n">
        <v>2.02067</v>
      </c>
      <c r="R4" t="n">
        <v>3.06239</v>
      </c>
      <c r="S4" t="n">
        <v>5.05934</v>
      </c>
      <c r="T4" t="n">
        <v>3.0318</v>
      </c>
      <c r="U4" t="n">
        <v>6.57493</v>
      </c>
      <c r="V4" t="n">
        <v>0.50502</v>
      </c>
      <c r="W4" t="n">
        <v>0.12517</v>
      </c>
      <c r="X4" t="n">
        <v>1.93108</v>
      </c>
      <c r="Y4" t="n">
        <v>0.8592</v>
      </c>
      <c r="Z4" t="n">
        <v>1.94701</v>
      </c>
      <c r="AA4" t="n">
        <v>0.74157</v>
      </c>
      <c r="AB4" t="n">
        <v>1.7769</v>
      </c>
      <c r="AC4" t="n">
        <v>0.38117</v>
      </c>
      <c r="AD4" t="n">
        <v>0.02991</v>
      </c>
      <c r="AE4" t="n">
        <v>0.5570000000000001</v>
      </c>
      <c r="AF4" t="inlineStr">
        <is>
          <t>watershed_particles</t>
        </is>
      </c>
      <c r="AG4" t="n">
        <v>0.70245</v>
      </c>
      <c r="AH4" t="n">
        <v>0.29755</v>
      </c>
      <c r="AI4" t="n">
        <v>0.58461</v>
      </c>
      <c r="AJ4" t="n">
        <v>0.00182</v>
      </c>
      <c r="AK4" t="n">
        <v>0.02236</v>
      </c>
      <c r="AL4" t="n">
        <v>0</v>
      </c>
      <c r="AM4" t="n">
        <v>0.8496899999999999</v>
      </c>
      <c r="AN4" t="n">
        <v>0.58461</v>
      </c>
      <c r="AO4" t="n">
        <v>0.65496</v>
      </c>
      <c r="AP4" t="n">
        <v>0.74439</v>
      </c>
      <c r="AQ4" t="n">
        <v>3.26219</v>
      </c>
      <c r="AR4" t="n">
        <v>1.28142</v>
      </c>
      <c r="AS4" t="n">
        <v>0.26463</v>
      </c>
      <c r="AT4" t="n">
        <v>121.26825</v>
      </c>
      <c r="AU4" t="n">
        <v>0.00557</v>
      </c>
      <c r="AV4" t="n">
        <v>0.03141</v>
      </c>
      <c r="AW4" t="n">
        <v>0.01451</v>
      </c>
      <c r="AX4" t="n">
        <v>0.04428</v>
      </c>
      <c r="AY4" t="n">
        <v>0.40075</v>
      </c>
      <c r="AZ4" t="n">
        <v>0.57999</v>
      </c>
      <c r="BA4" t="n">
        <v>0.45643</v>
      </c>
      <c r="BB4" t="n">
        <v>1.27071</v>
      </c>
      <c r="BC4" t="n">
        <v>2.68194</v>
      </c>
      <c r="BD4" t="n">
        <v>1.18923</v>
      </c>
      <c r="BE4" t="n">
        <v>2.25518</v>
      </c>
      <c r="BF4" t="n">
        <v>0.09544999999999999</v>
      </c>
      <c r="BG4" t="n">
        <v>0.05812</v>
      </c>
      <c r="BH4" t="n">
        <v>1.42055</v>
      </c>
      <c r="BI4" t="n">
        <v>0.575</v>
      </c>
      <c r="BJ4" t="n">
        <v>0.925</v>
      </c>
      <c r="BK4" t="n">
        <v>1.5</v>
      </c>
      <c r="BL4" t="n">
        <v>6</v>
      </c>
      <c r="BM4" t="n">
        <v>57</v>
      </c>
      <c r="BN4" t="n">
        <v>136</v>
      </c>
      <c r="BO4" t="n">
        <v>2.58663</v>
      </c>
      <c r="BP4" t="n">
        <v>10.09749</v>
      </c>
      <c r="BQ4" t="n">
        <v>54.48719</v>
      </c>
      <c r="BR4" t="n">
        <v>0.00063</v>
      </c>
      <c r="BS4" t="n">
        <v>1</v>
      </c>
      <c r="BT4" t="n">
        <v>1</v>
      </c>
      <c r="BU4" t="n">
        <v>0.01353</v>
      </c>
      <c r="BV4" t="n">
        <v>0.01801</v>
      </c>
      <c r="BW4" t="n">
        <v>0</v>
      </c>
    </row>
    <row r="5">
      <c r="A5" t="inlineStr">
        <is>
          <t>Batch_eval</t>
        </is>
      </c>
      <c r="B5" t="inlineStr">
        <is>
          <t>img_fspqbkxl</t>
        </is>
      </c>
      <c r="C5" t="n">
        <v>2148</v>
      </c>
      <c r="D5" t="n">
        <v>6998</v>
      </c>
      <c r="E5" t="n">
        <v>15031704</v>
      </c>
      <c r="F5" t="n">
        <v>0.10557</v>
      </c>
      <c r="G5" t="n">
        <v>0.33057</v>
      </c>
      <c r="H5" t="n">
        <v>0.06092</v>
      </c>
      <c r="I5" t="n">
        <v>0.0864</v>
      </c>
      <c r="J5" t="n">
        <v>0.01587</v>
      </c>
      <c r="K5" t="n">
        <v>0.80802</v>
      </c>
      <c r="L5" t="n">
        <v>0.06811</v>
      </c>
      <c r="M5" t="n">
        <v>37.72027</v>
      </c>
      <c r="N5" t="n">
        <v>49.36233</v>
      </c>
      <c r="O5" t="n">
        <v>0.36845</v>
      </c>
      <c r="P5" t="n">
        <v>0.54262</v>
      </c>
      <c r="Q5" t="n">
        <v>1.77831</v>
      </c>
      <c r="R5" t="n">
        <v>2.52203</v>
      </c>
      <c r="S5" t="n">
        <v>5.27661</v>
      </c>
      <c r="T5" t="n">
        <v>2.65132</v>
      </c>
      <c r="U5" t="n">
        <v>6.02707</v>
      </c>
      <c r="V5" t="n">
        <v>0.39178</v>
      </c>
      <c r="W5" t="n">
        <v>0.12889</v>
      </c>
      <c r="X5" t="n">
        <v>1.68874</v>
      </c>
      <c r="Y5" t="n">
        <v>0.8583499999999999</v>
      </c>
      <c r="Z5" t="n">
        <v>1.9912</v>
      </c>
      <c r="AA5" t="n">
        <v>0.65239</v>
      </c>
      <c r="AB5" t="n">
        <v>1.35575</v>
      </c>
      <c r="AC5" t="n">
        <v>0.2712</v>
      </c>
      <c r="AD5" t="n">
        <v>0.02789</v>
      </c>
      <c r="AE5" t="n">
        <v>0.45464</v>
      </c>
      <c r="AF5" t="inlineStr">
        <is>
          <t>watershed_particles</t>
        </is>
      </c>
      <c r="AG5" t="n">
        <v>0.67372</v>
      </c>
      <c r="AH5" t="n">
        <v>0.32628</v>
      </c>
      <c r="AI5" t="n">
        <v>0.42404</v>
      </c>
      <c r="AJ5" t="n">
        <v>0.00191</v>
      </c>
      <c r="AK5" t="n">
        <v>0.02811</v>
      </c>
      <c r="AL5" t="n">
        <v>0</v>
      </c>
      <c r="AM5" t="n">
        <v>0.82892</v>
      </c>
      <c r="AN5" t="n">
        <v>0.42404</v>
      </c>
      <c r="AO5" t="n">
        <v>0.64813</v>
      </c>
      <c r="AP5" t="n">
        <v>0.78396</v>
      </c>
      <c r="AQ5" t="n">
        <v>3.09207</v>
      </c>
      <c r="AR5" t="n">
        <v>1.17663</v>
      </c>
      <c r="AS5" t="n">
        <v>0.22391</v>
      </c>
      <c r="AT5" t="n">
        <v>149.68363</v>
      </c>
      <c r="AU5" t="n">
        <v>0.00545</v>
      </c>
      <c r="AV5" t="n">
        <v>0.02662</v>
      </c>
      <c r="AW5" t="n">
        <v>0.00919</v>
      </c>
      <c r="AX5" t="n">
        <v>0.06431000000000001</v>
      </c>
      <c r="AY5" t="n">
        <v>0.41122</v>
      </c>
      <c r="AZ5" t="n">
        <v>0.57494</v>
      </c>
      <c r="BA5" t="n">
        <v>0.49704</v>
      </c>
      <c r="BB5" t="n">
        <v>1.15673</v>
      </c>
      <c r="BC5" t="n">
        <v>1.56362</v>
      </c>
      <c r="BD5" t="n">
        <v>1.21627</v>
      </c>
      <c r="BE5" t="n">
        <v>1.28559</v>
      </c>
      <c r="BF5" t="n">
        <v>0.01643</v>
      </c>
      <c r="BG5" t="n">
        <v>0.05162</v>
      </c>
      <c r="BH5" t="n">
        <v>1.19881</v>
      </c>
      <c r="BI5" t="n">
        <v>0.65</v>
      </c>
      <c r="BJ5" t="n">
        <v>0.9</v>
      </c>
      <c r="BK5" t="n">
        <v>1.35</v>
      </c>
      <c r="BL5" t="n">
        <v>0</v>
      </c>
      <c r="BM5" t="n">
        <v>49</v>
      </c>
      <c r="BN5" t="n">
        <v>126</v>
      </c>
      <c r="BO5" t="n">
        <v>2.41975</v>
      </c>
      <c r="BP5" t="n">
        <v>11.04627</v>
      </c>
      <c r="BQ5" t="n">
        <v>60.29243</v>
      </c>
      <c r="BR5" t="n">
        <v>0.00181</v>
      </c>
      <c r="BS5" t="n">
        <v>1</v>
      </c>
      <c r="BT5" t="n">
        <v>1</v>
      </c>
      <c r="BU5" t="n">
        <v>0.01139</v>
      </c>
      <c r="BV5" t="n">
        <v>0.01431</v>
      </c>
      <c r="BW5" t="n">
        <v>0</v>
      </c>
    </row>
    <row r="6">
      <c r="A6" t="inlineStr">
        <is>
          <t>Batch_eval</t>
        </is>
      </c>
      <c r="B6" t="inlineStr">
        <is>
          <t>img_soo2ax3r</t>
        </is>
      </c>
      <c r="C6" t="n">
        <v>2156</v>
      </c>
      <c r="D6" t="n">
        <v>6998</v>
      </c>
      <c r="E6" t="n">
        <v>15087688</v>
      </c>
      <c r="F6" t="n">
        <v>0.10972</v>
      </c>
      <c r="G6" t="n">
        <v>0.33472</v>
      </c>
      <c r="H6" t="n">
        <v>0.05623</v>
      </c>
      <c r="I6" t="n">
        <v>0.07006999999999999</v>
      </c>
      <c r="J6" t="n">
        <v>0.00984</v>
      </c>
      <c r="K6" t="n">
        <v>0.82021</v>
      </c>
      <c r="L6" t="n">
        <v>0.06315999999999999</v>
      </c>
      <c r="M6" t="n">
        <v>27.50587</v>
      </c>
      <c r="N6" t="n">
        <v>27.17447</v>
      </c>
      <c r="O6" t="n">
        <v>0.38014</v>
      </c>
      <c r="P6" t="n">
        <v>0.74047</v>
      </c>
      <c r="Q6" t="n">
        <v>2.14644</v>
      </c>
      <c r="R6" t="n">
        <v>2.38199</v>
      </c>
      <c r="S6" t="n">
        <v>4.13892</v>
      </c>
      <c r="T6" t="n">
        <v>2.4378</v>
      </c>
      <c r="U6" t="n">
        <v>5.16719</v>
      </c>
      <c r="V6" t="n">
        <v>0.32824</v>
      </c>
      <c r="W6" t="n">
        <v>0.03955</v>
      </c>
      <c r="X6" t="n">
        <v>1.55274</v>
      </c>
      <c r="Y6" t="n">
        <v>0.87036</v>
      </c>
      <c r="Z6" t="n">
        <v>1.87283</v>
      </c>
      <c r="AA6" t="n">
        <v>0.63484</v>
      </c>
      <c r="AB6" t="n">
        <v>1.55048</v>
      </c>
      <c r="AC6" t="n">
        <v>0.36236</v>
      </c>
      <c r="AD6" t="n">
        <v>0.00759</v>
      </c>
      <c r="AE6" t="n">
        <v>0.61871</v>
      </c>
      <c r="AF6" t="inlineStr">
        <is>
          <t>watershed_particles</t>
        </is>
      </c>
      <c r="AG6" t="n">
        <v>0.8506</v>
      </c>
      <c r="AH6" t="n">
        <v>0.1494</v>
      </c>
      <c r="AI6" t="n">
        <v>0.2058</v>
      </c>
      <c r="AJ6" t="n">
        <v>0.00044</v>
      </c>
      <c r="AK6" t="n">
        <v>0.01072</v>
      </c>
      <c r="AL6" t="n">
        <v>0</v>
      </c>
      <c r="AM6" t="n">
        <v>0.93494</v>
      </c>
      <c r="AN6" t="n">
        <v>0.2058</v>
      </c>
      <c r="AO6" t="n">
        <v>0.38345</v>
      </c>
      <c r="AP6" t="n">
        <v>0.79579</v>
      </c>
      <c r="AQ6" t="n">
        <v>3.09206</v>
      </c>
      <c r="AR6" t="n">
        <v>1.19311</v>
      </c>
      <c r="AS6" t="n">
        <v>0.24267</v>
      </c>
      <c r="AT6" t="n">
        <v>127.78631</v>
      </c>
      <c r="AU6" t="n">
        <v>0</v>
      </c>
      <c r="AV6" t="n">
        <v>0.04528</v>
      </c>
      <c r="AW6" t="n">
        <v>0.00747</v>
      </c>
      <c r="AX6" t="n">
        <v>0.05697</v>
      </c>
      <c r="AY6" t="n">
        <v>0.37959</v>
      </c>
      <c r="AZ6" t="n">
        <v>0.60889</v>
      </c>
      <c r="BA6" t="n">
        <v>0.49983</v>
      </c>
      <c r="BB6" t="n">
        <v>1.21821</v>
      </c>
      <c r="BC6" t="n">
        <v>1.51051</v>
      </c>
      <c r="BD6" t="n">
        <v>1.16414</v>
      </c>
      <c r="BE6" t="n">
        <v>1.29753</v>
      </c>
      <c r="BF6" t="n">
        <v>0.02007</v>
      </c>
      <c r="BG6" t="n">
        <v>0.03795</v>
      </c>
      <c r="BH6" t="n">
        <v>1.18665</v>
      </c>
      <c r="BI6" t="n">
        <v>0.575</v>
      </c>
      <c r="BJ6" t="n">
        <v>0.775</v>
      </c>
      <c r="BK6" t="n">
        <v>1.475</v>
      </c>
      <c r="BL6" t="n">
        <v>0</v>
      </c>
      <c r="BM6" t="n">
        <v>62</v>
      </c>
      <c r="BN6" t="n">
        <v>128</v>
      </c>
      <c r="BO6" t="n">
        <v>2.17065</v>
      </c>
      <c r="BP6" t="n">
        <v>11.0082</v>
      </c>
      <c r="BQ6" t="n">
        <v>61.00994</v>
      </c>
      <c r="BR6" t="n">
        <v>0.00149</v>
      </c>
      <c r="BS6" t="n">
        <v>1</v>
      </c>
      <c r="BT6" t="n">
        <v>1</v>
      </c>
      <c r="BU6" t="n">
        <v>0.0103</v>
      </c>
      <c r="BV6" t="n">
        <v>0.01789</v>
      </c>
      <c r="BW6" t="n">
        <v>0</v>
      </c>
    </row>
    <row r="7">
      <c r="A7" t="inlineStr">
        <is>
          <t>Batch_eval</t>
        </is>
      </c>
      <c r="B7" t="inlineStr">
        <is>
          <t>img_y59rxmxl</t>
        </is>
      </c>
      <c r="C7" t="n">
        <v>1880</v>
      </c>
      <c r="D7" t="n">
        <v>6998</v>
      </c>
      <c r="E7" t="n">
        <v>13156240</v>
      </c>
      <c r="F7" t="n">
        <v>0.10833</v>
      </c>
      <c r="G7" t="n">
        <v>0.33333</v>
      </c>
      <c r="H7" t="n">
        <v>0.0421</v>
      </c>
      <c r="I7" t="n">
        <v>0.06102</v>
      </c>
      <c r="J7" t="n">
        <v>0.01381</v>
      </c>
      <c r="K7" t="n">
        <v>0.83064</v>
      </c>
      <c r="L7" t="n">
        <v>0.04722</v>
      </c>
      <c r="M7" t="n">
        <v>19.83849</v>
      </c>
      <c r="N7" t="n">
        <v>33.06416</v>
      </c>
      <c r="O7" t="n">
        <v>0.36781</v>
      </c>
      <c r="P7" t="n">
        <v>0.71643</v>
      </c>
      <c r="Q7" t="n">
        <v>2.00981</v>
      </c>
      <c r="R7" t="n">
        <v>2.39382</v>
      </c>
      <c r="S7" t="n">
        <v>4.29118</v>
      </c>
      <c r="T7" t="n">
        <v>2.48818</v>
      </c>
      <c r="U7" t="n">
        <v>4.29164</v>
      </c>
      <c r="V7" t="n">
        <v>0.3954</v>
      </c>
      <c r="W7" t="n">
        <v>0</v>
      </c>
      <c r="X7" t="n">
        <v>1.58483</v>
      </c>
      <c r="Y7" t="n">
        <v>0.86846</v>
      </c>
      <c r="Z7" t="n">
        <v>1.88633</v>
      </c>
      <c r="AA7" t="n">
        <v>0.67616</v>
      </c>
      <c r="AB7" t="n">
        <v>1.95962</v>
      </c>
      <c r="AC7" t="n">
        <v>0.1865</v>
      </c>
      <c r="AD7" t="n">
        <v>0.0174</v>
      </c>
      <c r="AE7" t="n">
        <v>0.54117</v>
      </c>
      <c r="AF7" t="inlineStr">
        <is>
          <t>watershed_particles</t>
        </is>
      </c>
      <c r="AG7" t="n">
        <v>0.75479</v>
      </c>
      <c r="AH7" t="n">
        <v>0.24521</v>
      </c>
      <c r="AI7" t="n">
        <v>0.36324</v>
      </c>
      <c r="AJ7" t="n">
        <v>0.0009700000000000001</v>
      </c>
      <c r="AK7" t="n">
        <v>0.02124</v>
      </c>
      <c r="AL7" t="n">
        <v>0</v>
      </c>
      <c r="AM7" t="n">
        <v>0.88123</v>
      </c>
      <c r="AN7" t="n">
        <v>0.36324</v>
      </c>
      <c r="AO7" t="n">
        <v>0.37741</v>
      </c>
      <c r="AP7" t="n">
        <v>0.73431</v>
      </c>
      <c r="AQ7" t="n">
        <v>3.39358</v>
      </c>
      <c r="AR7" t="n">
        <v>1.22279</v>
      </c>
      <c r="AS7" t="n">
        <v>0.24914</v>
      </c>
      <c r="AT7" t="n">
        <v>127.31601</v>
      </c>
      <c r="AU7" t="n">
        <v>0.03594</v>
      </c>
      <c r="AV7" t="n">
        <v>0.02277</v>
      </c>
      <c r="AW7" t="n">
        <v>0.01075</v>
      </c>
      <c r="AX7" t="n">
        <v>0.03887</v>
      </c>
      <c r="AY7" t="n">
        <v>0.38093</v>
      </c>
      <c r="AZ7" t="n">
        <v>0.64652</v>
      </c>
      <c r="BA7" t="n">
        <v>0.53686</v>
      </c>
      <c r="BB7" t="n">
        <v>1.20427</v>
      </c>
      <c r="BC7" t="n">
        <v>2.11532</v>
      </c>
      <c r="BD7" t="n">
        <v>1.5014</v>
      </c>
      <c r="BE7" t="n">
        <v>1.40889</v>
      </c>
      <c r="BF7" t="n">
        <v>0.08450000000000001</v>
      </c>
      <c r="BG7" t="n">
        <v>0.08735999999999999</v>
      </c>
      <c r="BH7" t="n">
        <v>1.33709</v>
      </c>
      <c r="BI7" t="n">
        <v>0.725</v>
      </c>
      <c r="BJ7" t="n">
        <v>0.95</v>
      </c>
      <c r="BK7" t="n">
        <v>1.55</v>
      </c>
      <c r="BL7" t="n">
        <v>0</v>
      </c>
      <c r="BM7" t="n">
        <v>58</v>
      </c>
      <c r="BN7" t="n">
        <v>125</v>
      </c>
      <c r="BO7" t="n">
        <v>2.16718</v>
      </c>
      <c r="BP7" t="n">
        <v>10.97522</v>
      </c>
      <c r="BQ7" t="n">
        <v>59.85296</v>
      </c>
      <c r="BR7" t="n">
        <v>-0.00044</v>
      </c>
      <c r="BS7" t="n">
        <v>1</v>
      </c>
      <c r="BT7" t="n">
        <v>1</v>
      </c>
      <c r="BU7" t="n">
        <v>0.02091</v>
      </c>
      <c r="BV7" t="n">
        <v>0.01431</v>
      </c>
      <c r="BW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9" customWidth="1" min="2" max="2"/>
    <col width="10" customWidth="1" min="3" max="3"/>
    <col width="22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column</t>
        </is>
      </c>
      <c r="B1" s="1" t="inlineStr">
        <is>
          <t>plain_name</t>
        </is>
      </c>
      <c r="C1" s="1" t="inlineStr">
        <is>
          <t>unit</t>
        </is>
      </c>
      <c r="D1" s="1" t="inlineStr">
        <is>
          <t>group</t>
        </is>
      </c>
      <c r="E1" s="1" t="inlineStr">
        <is>
          <t>measures</t>
        </is>
      </c>
      <c r="F1" s="1" t="inlineStr">
        <is>
          <t>method</t>
        </is>
      </c>
      <c r="G1" s="1" t="inlineStr">
        <is>
          <t>dfn_input</t>
        </is>
      </c>
      <c r="H1" s="1" t="inlineStr">
        <is>
          <t>warns</t>
        </is>
      </c>
      <c r="I1" s="1" t="inlineStr">
        <is>
          <t>caveat</t>
        </is>
      </c>
    </row>
    <row r="2">
      <c r="A2" t="inlineStr">
        <is>
          <t>batch</t>
        </is>
      </c>
      <c r="B2" t="inlineStr">
        <is>
          <t>batch</t>
        </is>
      </c>
      <c r="C2" t="inlineStr">
        <is>
          <t>?</t>
        </is>
      </c>
      <c r="D2" t="inlineStr">
        <is>
          <t>Other</t>
        </is>
      </c>
      <c r="E2" t="inlineStr"/>
      <c r="F2" t="inlineStr"/>
      <c r="G2" t="inlineStr"/>
      <c r="H2" t="inlineStr"/>
      <c r="I2" t="inlineStr"/>
    </row>
    <row r="3">
      <c r="A3" t="inlineStr">
        <is>
          <t>image_id</t>
        </is>
      </c>
      <c r="B3" t="inlineStr">
        <is>
          <t>image_id</t>
        </is>
      </c>
      <c r="C3" t="inlineStr">
        <is>
          <t>?</t>
        </is>
      </c>
      <c r="D3" t="inlineStr">
        <is>
          <t>Other</t>
        </is>
      </c>
      <c r="E3" t="inlineStr"/>
      <c r="F3" t="inlineStr"/>
      <c r="G3" t="inlineStr"/>
      <c r="H3" t="inlineStr"/>
      <c r="I3" t="inlineStr"/>
    </row>
    <row r="4">
      <c r="A4" t="inlineStr">
        <is>
          <t>h_px</t>
        </is>
      </c>
      <c r="B4" t="inlineStr">
        <is>
          <t>h_px</t>
        </is>
      </c>
      <c r="C4" t="inlineStr">
        <is>
          <t>?</t>
        </is>
      </c>
      <c r="D4" t="inlineStr">
        <is>
          <t>Other</t>
        </is>
      </c>
      <c r="E4" t="inlineStr"/>
      <c r="F4" t="inlineStr"/>
      <c r="G4" t="inlineStr"/>
      <c r="H4" t="inlineStr"/>
      <c r="I4" t="inlineStr"/>
    </row>
    <row r="5">
      <c r="A5" t="inlineStr">
        <is>
          <t>w_px</t>
        </is>
      </c>
      <c r="B5" t="inlineStr">
        <is>
          <t>w_px</t>
        </is>
      </c>
      <c r="C5" t="inlineStr">
        <is>
          <t>?</t>
        </is>
      </c>
      <c r="D5" t="inlineStr">
        <is>
          <t>Other</t>
        </is>
      </c>
      <c r="E5" t="inlineStr"/>
      <c r="F5" t="inlineStr"/>
      <c r="G5" t="inlineStr"/>
      <c r="H5" t="inlineStr"/>
      <c r="I5" t="inlineStr"/>
    </row>
    <row r="6">
      <c r="A6" t="inlineStr">
        <is>
          <t>n_px</t>
        </is>
      </c>
      <c r="B6" t="inlineStr">
        <is>
          <t>n_px</t>
        </is>
      </c>
      <c r="C6" t="inlineStr">
        <is>
          <t>?</t>
        </is>
      </c>
      <c r="D6" t="inlineStr">
        <is>
          <t>Other</t>
        </is>
      </c>
      <c r="E6" t="inlineStr"/>
      <c r="F6" t="inlineStr"/>
      <c r="G6" t="inlineStr"/>
      <c r="H6" t="inlineStr"/>
      <c r="I6" t="inlineStr"/>
    </row>
    <row r="7">
      <c r="A7" t="inlineStr">
        <is>
          <t>pore_frac_resolved</t>
        </is>
      </c>
      <c r="B7" t="inlineStr">
        <is>
          <t>Resolved porosity (image-visible pores)</t>
        </is>
      </c>
      <c r="C7" t="inlineStr">
        <is>
          <t>fraction</t>
        </is>
      </c>
      <c r="D7" t="inlineStr">
        <is>
          <t>A. Composition</t>
        </is>
      </c>
      <c r="E7" t="inlineStr">
        <is>
          <t>Share of the image that is empty space (dark regions) large enough to see.</t>
        </is>
      </c>
      <c r="F7" t="inlineStr">
        <is>
          <t>Pixel counting on the segmented map (Delesse: area fraction = volume fraction).</t>
        </is>
      </c>
      <c r="G7" t="inlineStr"/>
      <c r="H7" t="inlineStr">
        <is>
          <t>Low -&gt; fewer channels for lithium; high can mean loose coating or pull-out artefacts.</t>
        </is>
      </c>
      <c r="I7" t="inlineStr">
        <is>
          <t>Only pores above ~0.35 um are counted; true electrode porosity is typically 25-40 %.</t>
        </is>
      </c>
    </row>
    <row r="8">
      <c r="A8" t="inlineStr">
        <is>
          <t>porosity_est</t>
        </is>
      </c>
      <c r="B8" t="inlineStr">
        <is>
          <t>Estimated total porosity</t>
        </is>
      </c>
      <c r="C8" t="inlineStr">
        <is>
          <t>fraction</t>
        </is>
      </c>
      <c r="D8" t="inlineStr">
        <is>
          <t>A. Composition</t>
        </is>
      </c>
      <c r="E8" t="inlineStr">
        <is>
          <t>Resolved porosity plus a correction for pores too small to see.</t>
        </is>
      </c>
      <c r="F8" t="inlineStr">
        <is>
          <t>pore_frac_resolved + delta_lit (0.15-0.30 literature band). ASSUMED component — swept as uncertainty.</t>
        </is>
      </c>
      <c r="G8" t="inlineStr">
        <is>
          <t>Negative electrode porosity</t>
        </is>
      </c>
      <c r="H8" t="inlineStr">
        <is>
          <t>Feeds electrolyte transport; treated as a range, not a point.</t>
        </is>
      </c>
      <c r="I8" t="inlineStr">
        <is>
          <t>The delta is assumed from literature, not measured.</t>
        </is>
      </c>
    </row>
    <row r="9">
      <c r="A9" t="inlineStr">
        <is>
          <t>si_frac_total</t>
        </is>
      </c>
      <c r="B9" t="inlineStr">
        <is>
          <t>Silicon fraction (of coating)</t>
        </is>
      </c>
      <c r="C9" t="inlineStr">
        <is>
          <t>fraction</t>
        </is>
      </c>
      <c r="D9" t="inlineStr">
        <is>
          <t>A. Composition</t>
        </is>
      </c>
      <c r="E9" t="inlineStr">
        <is>
          <t>Share of the image that is classified silicon particles.</t>
        </is>
      </c>
      <c r="F9" t="inlineStr">
        <is>
          <t>Area of si_particle objects / image area.</t>
        </is>
      </c>
      <c r="G9" t="inlineStr">
        <is>
          <t>(with si_frac_of_solid) Secondary active-material fraction</t>
        </is>
      </c>
      <c r="H9" t="inlineStr">
        <is>
          <t>High -&gt; more swelling demand, more SEI surface.</t>
        </is>
      </c>
      <c r="I9" t="inlineStr"/>
    </row>
    <row r="10">
      <c r="A10" t="inlineStr">
        <is>
          <t>bright_frac_raw</t>
        </is>
      </c>
      <c r="B10" t="inlineStr">
        <is>
          <t>Raw bright fraction (all bright objects)</t>
        </is>
      </c>
      <c r="C10" t="inlineStr">
        <is>
          <t>fraction</t>
        </is>
      </c>
      <c r="D10" t="inlineStr">
        <is>
          <t>A. Composition</t>
        </is>
      </c>
      <c r="E10" t="inlineStr">
        <is>
          <t>Bright pixels BEFORE the si_particle/bright_fine split — what naive thresholding would call silicon.</t>
        </is>
      </c>
      <c r="F10" t="inlineStr">
        <is>
          <t>Pixel counting on the raw bright phase.</t>
        </is>
      </c>
      <c r="G10" t="inlineStr"/>
      <c r="H10" t="inlineStr">
        <is>
          <t>Compare with si_frac_total — a big gap means overcounting.</t>
        </is>
      </c>
      <c r="I10" t="inlineStr"/>
    </row>
    <row r="11">
      <c r="A11" t="inlineStr">
        <is>
          <t>bright_fine_frac</t>
        </is>
      </c>
      <c r="B11" t="inlineStr">
        <is>
          <t>Ambiguous bright-material fraction</t>
        </is>
      </c>
      <c r="C11" t="inlineStr">
        <is>
          <t>fraction</t>
        </is>
      </c>
      <c r="D11" t="inlineStr">
        <is>
          <t>A. Composition</t>
        </is>
      </c>
      <c r="E11" t="inlineStr">
        <is>
          <t>Bright objects that failed the silicon test (edges, carbon-binder, fines).</t>
        </is>
      </c>
      <c r="F11" t="inlineStr">
        <is>
          <t>Object classifier: interior brightness + compactness.</t>
        </is>
      </c>
      <c r="G11" t="inlineStr"/>
      <c r="H11" t="inlineStr">
        <is>
          <t>Elevated -&gt; low-contrast photo overcounting Si; trust si_frac_total instead of the raw bright fraction.</t>
        </is>
      </c>
      <c r="I11" t="inlineStr">
        <is>
          <t>Guard rail — not a physical phase claim.</t>
        </is>
      </c>
    </row>
    <row r="12">
      <c r="A12" t="inlineStr">
        <is>
          <t>gr_frac</t>
        </is>
      </c>
      <c r="B12" t="inlineStr">
        <is>
          <t>Graphite (+binder) fraction</t>
        </is>
      </c>
      <c r="C12" t="inlineStr">
        <is>
          <t>fraction</t>
        </is>
      </c>
      <c r="D12" t="inlineStr">
        <is>
          <t>A. Composition</t>
        </is>
      </c>
      <c r="E12" t="inlineStr">
        <is>
          <t>Share of the image that is grey bulk material.</t>
        </is>
      </c>
      <c r="F12" t="inlineStr">
        <is>
          <t>Pixel counting (binder has no BSE contrast — merged with graphite by design).</t>
        </is>
      </c>
      <c r="G12" t="inlineStr">
        <is>
          <t>Primary: Negative electrode active material volume fraction</t>
        </is>
      </c>
      <c r="H12" t="inlineStr"/>
      <c r="I12" t="inlineStr">
        <is>
          <t>Includes invisible carbon-binder phase.</t>
        </is>
      </c>
    </row>
    <row r="13">
      <c r="A13" t="inlineStr">
        <is>
          <t>si_frac_of_solid</t>
        </is>
      </c>
      <c r="B13" t="inlineStr">
        <is>
          <t>Silicon share of the solid material</t>
        </is>
      </c>
      <c r="C13" t="inlineStr">
        <is>
          <t>fraction</t>
        </is>
      </c>
      <c r="D13" t="inlineStr">
        <is>
          <t>A. Composition</t>
        </is>
      </c>
      <c r="E13" t="inlineStr">
        <is>
          <t>Silicon area divided by all solid area (Si + graphite).</t>
        </is>
      </c>
      <c r="F13" t="inlineStr">
        <is>
          <t>si_frac_total / (1 - pore_frac_resolved).</t>
        </is>
      </c>
      <c r="G13" t="inlineStr">
        <is>
          <t>Secondary: Negative electrode active material volume fraction</t>
        </is>
      </c>
      <c r="H13" t="inlineStr">
        <is>
          <t>High -&gt; greater lithiation swelling per unit coating.</t>
        </is>
      </c>
      <c r="I13" t="inlineStr"/>
    </row>
    <row r="14">
      <c r="A14" t="inlineStr">
        <is>
          <t>si_per_mpx</t>
        </is>
      </c>
      <c r="B14" t="inlineStr">
        <is>
          <t>Si particle count density</t>
        </is>
      </c>
      <c r="C14" t="inlineStr">
        <is>
          <t>per Mpx</t>
        </is>
      </c>
      <c r="D14" t="inlineStr">
        <is>
          <t>B. Silicon particles</t>
        </is>
      </c>
      <c r="E14" t="inlineStr">
        <is>
          <t>Number of silicon particles per million pixels.</t>
        </is>
      </c>
      <c r="F14" t="inlineStr">
        <is>
          <t>Count of classified si_particle objects.</t>
        </is>
      </c>
      <c r="G14" t="inlineStr"/>
      <c r="H14" t="inlineStr">
        <is>
          <t>High -&gt; finer Si distribution.</t>
        </is>
      </c>
      <c r="I14" t="inlineStr"/>
    </row>
    <row r="15">
      <c r="A15" t="inlineStr">
        <is>
          <t>bright_fine_per_mpx</t>
        </is>
      </c>
      <c r="B15" t="inlineStr">
        <is>
          <t>Bright-fine count density</t>
        </is>
      </c>
      <c r="C15" t="inlineStr">
        <is>
          <t>per Mpx</t>
        </is>
      </c>
      <c r="D15" t="inlineStr">
        <is>
          <t>B. Silicon particles</t>
        </is>
      </c>
      <c r="E15" t="inlineStr">
        <is>
          <t>Number of ambiguous bright objects per million pixels.</t>
        </is>
      </c>
      <c r="F15" t="inlineStr">
        <is>
          <t>Count of bright_fine objects.</t>
        </is>
      </c>
      <c r="G15" t="inlineStr"/>
      <c r="H15" t="inlineStr"/>
      <c r="I15" t="inlineStr"/>
    </row>
    <row r="16">
      <c r="A16" t="inlineStr">
        <is>
          <t>si_d10_num_um</t>
        </is>
      </c>
      <c r="B16" t="inlineStr">
        <is>
          <t>Si 2-D profile diameter, 10th pct (count-weighted)</t>
        </is>
      </c>
      <c r="C16" t="inlineStr">
        <is>
          <t>um</t>
        </is>
      </c>
      <c r="D16" t="inlineStr">
        <is>
          <t>B. Silicon particles</t>
        </is>
      </c>
      <c r="E16" t="inlineStr">
        <is>
          <t>Small end of the 2-D section-profile distribution — NOT the smallest particle diameter: a grazing cut through a large sphere yields a small profile (d_section = 2*sqrt(R^2-z^2)).</t>
        </is>
      </c>
      <c r="F16" t="inlineStr">
        <is>
          <t>10th percentile of equivalent diameters.</t>
        </is>
      </c>
      <c r="G16" t="inlineStr"/>
      <c r="H16" t="inlineStr"/>
      <c r="I16" t="inlineStr">
        <is>
          <t>2-D profile diagnostic only; excluded from primary size claims (stereological ambiguity).</t>
        </is>
      </c>
    </row>
    <row r="17">
      <c r="A17" t="inlineStr">
        <is>
          <t>si_d50_num_um</t>
        </is>
      </c>
      <c r="B17" t="inlineStr">
        <is>
          <t>Si particle diameter, median (count-weighted)</t>
        </is>
      </c>
      <c r="C17" t="inlineStr">
        <is>
          <t>um</t>
        </is>
      </c>
      <c r="D17" t="inlineStr">
        <is>
          <t>B. Silicon particles</t>
        </is>
      </c>
      <c r="E17" t="inlineStr">
        <is>
          <t>Typical silicon particle size counting every particle equally.</t>
        </is>
      </c>
      <c r="F17" t="inlineStr">
        <is>
          <t>Equivalent-circle diameter of each watershed-split si_particle; 50th percentile.</t>
        </is>
      </c>
      <c r="G17" t="inlineStr"/>
      <c r="H17" t="inlineStr">
        <is>
          <t>Rising -&gt; coarser Si grade.</t>
        </is>
      </c>
      <c r="I17" t="inlineStr">
        <is>
          <t>2D sections under-read true 3D size (~0.785x).</t>
        </is>
      </c>
    </row>
    <row r="18">
      <c r="A18" t="inlineStr">
        <is>
          <t>si_d90_num_um</t>
        </is>
      </c>
      <c r="B18" t="inlineStr">
        <is>
          <t>Si particle diameter, 90th pct (count-weighted)</t>
        </is>
      </c>
      <c r="C18" t="inlineStr">
        <is>
          <t>um</t>
        </is>
      </c>
      <c r="D18" t="inlineStr">
        <is>
          <t>B. Silicon particles</t>
        </is>
      </c>
      <c r="E18" t="inlineStr">
        <is>
          <t>Large end of the size distribution counting all particles equally.</t>
        </is>
      </c>
      <c r="F18" t="inlineStr">
        <is>
          <t>90th percentile of equivalent diameters.</t>
        </is>
      </c>
      <c r="G18" t="inlineStr"/>
      <c r="H18" t="inlineStr"/>
      <c r="I18" t="inlineStr"/>
    </row>
    <row r="19">
      <c r="A19" t="inlineStr">
        <is>
          <t>si_d50_aw_um</t>
        </is>
      </c>
      <c r="B19" t="inlineStr">
        <is>
          <t>Si particle diameter, median (area-weighted)</t>
        </is>
      </c>
      <c r="C19" t="inlineStr">
        <is>
          <t>um</t>
        </is>
      </c>
      <c r="D19" t="inlineStr">
        <is>
          <t>B. Silicon particles</t>
        </is>
      </c>
      <c r="E19" t="inlineStr">
        <is>
          <t>Particle size where most of the silicon *mass* lives.</t>
        </is>
      </c>
      <c r="F19" t="inlineStr">
        <is>
          <t>Area-weighted quantile of equivalent diameters.</t>
        </is>
      </c>
      <c r="G19" t="inlineStr">
        <is>
          <t>(basis for) Secondary particle radius</t>
        </is>
      </c>
      <c r="H19" t="inlineStr">
        <is>
          <t>Rising -&gt; coarser Si grade / worse cracking risk.</t>
        </is>
      </c>
      <c r="I19" t="inlineStr"/>
    </row>
    <row r="20">
      <c r="A20" t="inlineStr">
        <is>
          <t>si_d90_aw_um</t>
        </is>
      </c>
      <c r="B20" t="inlineStr">
        <is>
          <t>Si particle diameter, 90th pct (area-weighted)</t>
        </is>
      </c>
      <c r="C20" t="inlineStr">
        <is>
          <t>um</t>
        </is>
      </c>
      <c r="D20" t="inlineStr">
        <is>
          <t>B. Silicon particles</t>
        </is>
      </c>
      <c r="E20" t="inlineStr">
        <is>
          <t>Size of the large end of the silicon distribution.</t>
        </is>
      </c>
      <c r="F20" t="inlineStr">
        <is>
          <t>Area-weighted 90th percentile.</t>
        </is>
      </c>
      <c r="G20" t="inlineStr"/>
      <c r="H20" t="inlineStr">
        <is>
          <t>High -&gt; large-particle tail; crack/pulverization risk.</t>
        </is>
      </c>
      <c r="I20" t="inlineStr"/>
    </row>
    <row r="21">
      <c r="A21" t="inlineStr">
        <is>
          <t>si_dmean_aw_um</t>
        </is>
      </c>
      <c r="B21" t="inlineStr">
        <is>
          <t>Si particle diameter, mean (area-weighted)</t>
        </is>
      </c>
      <c r="C21" t="inlineStr">
        <is>
          <t>um</t>
        </is>
      </c>
      <c r="D21" t="inlineStr">
        <is>
          <t>B. Silicon particles</t>
        </is>
      </c>
      <c r="E21" t="inlineStr">
        <is>
          <t>Average size where the silicon mass sits.</t>
        </is>
      </c>
      <c r="F21" t="inlineStr">
        <is>
          <t>Area-weighted mean of equivalent diameters.</t>
        </is>
      </c>
      <c r="G21" t="inlineStr">
        <is>
          <t>(basis for) Secondary particle radius</t>
        </is>
      </c>
      <c r="H21" t="inlineStr"/>
      <c r="I21" t="inlineStr"/>
    </row>
    <row r="22">
      <c r="A22" t="inlineStr">
        <is>
          <t>si_dmax_um</t>
        </is>
      </c>
      <c r="B22" t="inlineStr">
        <is>
          <t>Largest Si particle</t>
        </is>
      </c>
      <c r="C22" t="inlineStr">
        <is>
          <t>um</t>
        </is>
      </c>
      <c r="D22" t="inlineStr">
        <is>
          <t>B. Silicon particles</t>
        </is>
      </c>
      <c r="E22" t="inlineStr">
        <is>
          <t>Biggest silicon particle fully inside the frame.</t>
        </is>
      </c>
      <c r="F22" t="inlineStr">
        <is>
          <t>Max equivalent diameter of non-border objects.</t>
        </is>
      </c>
      <c r="G22" t="inlineStr"/>
      <c r="H22" t="inlineStr">
        <is>
          <t>Very large -&gt; single-particle cracking hazard.</t>
        </is>
      </c>
      <c r="I22" t="inlineStr"/>
    </row>
    <row r="23">
      <c r="A23" t="inlineStr">
        <is>
          <t>si_frac_gt3um</t>
        </is>
      </c>
      <c r="B23" t="inlineStr">
        <is>
          <t>Si area share in particles &gt; 3 um</t>
        </is>
      </c>
      <c r="C23" t="inlineStr">
        <is>
          <t>fraction</t>
        </is>
      </c>
      <c r="D23" t="inlineStr">
        <is>
          <t>B. Silicon particles</t>
        </is>
      </c>
      <c r="E23" t="inlineStr">
        <is>
          <t>How much silicon sits in large particles.</t>
        </is>
      </c>
      <c r="F23" t="inlineStr">
        <is>
          <t>Area-weighted tail of the size distribution.</t>
        </is>
      </c>
      <c r="G23" t="inlineStr"/>
      <c r="H23" t="inlineStr">
        <is>
          <t>High -&gt; larger fraction at cracking risk on lithiation.</t>
        </is>
      </c>
      <c r="I23" t="inlineStr"/>
    </row>
    <row r="24">
      <c r="A24" t="inlineStr">
        <is>
          <t>si_frac_gt5um</t>
        </is>
      </c>
      <c r="B24" t="inlineStr">
        <is>
          <t>Si area share in particles &gt; 5 um</t>
        </is>
      </c>
      <c r="C24" t="inlineStr">
        <is>
          <t>fraction</t>
        </is>
      </c>
      <c r="D24" t="inlineStr">
        <is>
          <t>B. Silicon particles</t>
        </is>
      </c>
      <c r="E24" t="inlineStr">
        <is>
          <t>How much silicon sits in very large particles.</t>
        </is>
      </c>
      <c r="F24" t="inlineStr">
        <is>
          <t>Area-weighted tail of the size distribution.</t>
        </is>
      </c>
      <c r="G24" t="inlineStr"/>
      <c r="H24" t="inlineStr">
        <is>
          <t>High -&gt; severe cracking/pulverization risk.</t>
        </is>
      </c>
      <c r="I24" t="inlineStr"/>
    </row>
    <row r="25">
      <c r="A25" t="inlineStr">
        <is>
          <t>si_radius_3d_um</t>
        </is>
      </c>
      <c r="B25" t="inlineStr">
        <is>
          <t>Si particle radius (3D estimate)</t>
        </is>
      </c>
      <c r="C25" t="inlineStr">
        <is>
          <t>um</t>
        </is>
      </c>
      <c r="D25" t="inlineStr">
        <is>
          <t>B. Silicon particles</t>
        </is>
      </c>
      <c r="E25" t="inlineStr">
        <is>
          <t>Sphere-equivalent radius corrected for slice bias.</t>
        </is>
      </c>
      <c r="F25" t="inlineStr">
        <is>
          <t>si_dmean_aw / (2 * 0.785) — Saltykov sectioning correction.</t>
        </is>
      </c>
      <c r="G25" t="inlineStr">
        <is>
          <t>Secondary: Negative electrode particle radius [m]</t>
        </is>
      </c>
      <c r="H25" t="inlineStr">
        <is>
          <t>Feeds lithium diffusion length inside Si.</t>
        </is>
      </c>
      <c r="I25" t="inlineStr">
        <is>
          <t>Assumes roughly spherical particles.</t>
        </is>
      </c>
    </row>
    <row r="26">
      <c r="A26" t="inlineStr">
        <is>
          <t>si_solidity_mean</t>
        </is>
      </c>
      <c r="B26" t="inlineStr">
        <is>
          <t>Si particle compactness</t>
        </is>
      </c>
      <c r="C26" t="inlineStr">
        <is>
          <t>-</t>
        </is>
      </c>
      <c r="D26" t="inlineStr">
        <is>
          <t>B. Silicon particles</t>
        </is>
      </c>
      <c r="E26" t="inlineStr">
        <is>
          <t>How solid/compact the silicon particles are (1 = smooth convex).</t>
        </is>
      </c>
      <c r="F26" t="inlineStr">
        <is>
          <t>Mean solidity over si_particle objects.</t>
        </is>
      </c>
      <c r="G26" t="inlineStr"/>
      <c r="H26" t="inlineStr">
        <is>
          <t>Low -&gt; jagged particles; sphere assumption degrades.</t>
        </is>
      </c>
      <c r="I26" t="inlineStr"/>
    </row>
    <row r="27">
      <c r="A27" t="inlineStr">
        <is>
          <t>si_aspect_mean</t>
        </is>
      </c>
      <c r="B27" t="inlineStr">
        <is>
          <t>Si particle elongation</t>
        </is>
      </c>
      <c r="C27" t="inlineStr">
        <is>
          <t>-</t>
        </is>
      </c>
      <c r="D27" t="inlineStr">
        <is>
          <t>B. Silicon particles</t>
        </is>
      </c>
      <c r="E27" t="inlineStr">
        <is>
          <t>Mean major/minor axis ratio of silicon particles.</t>
        </is>
      </c>
      <c r="F27" t="inlineStr">
        <is>
          <t>regionprops ellipse axes.</t>
        </is>
      </c>
      <c r="G27" t="inlineStr"/>
      <c r="H27" t="inlineStr">
        <is>
          <t>High -&gt; elongated particles; sphere assumption degrades.</t>
        </is>
      </c>
      <c r="I27" t="inlineStr"/>
    </row>
    <row r="28">
      <c r="A28" t="inlineStr">
        <is>
          <t>si_clustering_R</t>
        </is>
      </c>
      <c r="B28" t="inlineStr">
        <is>
          <t>Si clustering index (Clark-Evans R)</t>
        </is>
      </c>
      <c r="C28" t="inlineStr">
        <is>
          <t>-</t>
        </is>
      </c>
      <c r="D28" t="inlineStr">
        <is>
          <t>B. Silicon particles</t>
        </is>
      </c>
      <c r="E28" t="inlineStr">
        <is>
          <t>How clumped silicon particles are (R&lt;1 clumped, R~1 random, R&gt;1 evenly spaced).</t>
        </is>
      </c>
      <c r="F28" t="inlineStr">
        <is>
          <t>Nearest-neighbour distance vs random expectation, Donnelly edge-corrected.</t>
        </is>
      </c>
      <c r="G28" t="inlineStr"/>
      <c r="H28" t="inlineStr">
        <is>
          <t>Low -&gt; clusters swell as one big particle -&gt; local stress.</t>
        </is>
      </c>
      <c r="I28" t="inlineStr">
        <is>
          <t>Graphite pockets force R&lt;1 structurally.</t>
        </is>
      </c>
    </row>
    <row r="29">
      <c r="A29" t="inlineStr">
        <is>
          <t>si_nn_dist_um</t>
        </is>
      </c>
      <c r="B29" t="inlineStr">
        <is>
          <t>Si nearest-neighbour distance</t>
        </is>
      </c>
      <c r="C29" t="inlineStr">
        <is>
          <t>um</t>
        </is>
      </c>
      <c r="D29" t="inlineStr">
        <is>
          <t>B. Silicon particles</t>
        </is>
      </c>
      <c r="E29" t="inlineStr">
        <is>
          <t>Mean distance to the closest silicon particle.</t>
        </is>
      </c>
      <c r="F29" t="inlineStr">
        <is>
          <t>KD-tree nearest neighbour on particle centroids.</t>
        </is>
      </c>
      <c r="G29" t="inlineStr"/>
      <c r="H29" t="inlineStr">
        <is>
          <t>Low -&gt; tight packing.</t>
        </is>
      </c>
      <c r="I29" t="inlineStr"/>
    </row>
    <row r="30">
      <c r="A30" t="inlineStr">
        <is>
          <t>si_patchiness</t>
        </is>
      </c>
      <c r="B30" t="inlineStr">
        <is>
          <t>Si patchiness (strip CV)</t>
        </is>
      </c>
      <c r="C30" t="inlineStr">
        <is>
          <t>-</t>
        </is>
      </c>
      <c r="D30" t="inlineStr">
        <is>
          <t>B. Silicon particles</t>
        </is>
      </c>
      <c r="E30" t="inlineStr">
        <is>
          <t>How unevenly silicon is distributed across the image.</t>
        </is>
      </c>
      <c r="F30" t="inlineStr">
        <is>
          <t>CV of Si fraction across 6 vertical strips.</t>
        </is>
      </c>
      <c r="G30" t="inlineStr"/>
      <c r="H30" t="inlineStr">
        <is>
          <t>High -&gt; mixing/dispersion problem.</t>
        </is>
      </c>
      <c r="I30" t="inlineStr"/>
    </row>
    <row r="31">
      <c r="A31" t="inlineStr">
        <is>
          <t>si_pore_contact</t>
        </is>
      </c>
      <c r="B31" t="inlineStr">
        <is>
          <t>Si-pore contact share</t>
        </is>
      </c>
      <c r="C31" t="inlineStr">
        <is>
          <t>fraction</t>
        </is>
      </c>
      <c r="D31" t="inlineStr">
        <is>
          <t>D. Pores &amp; transport</t>
        </is>
      </c>
      <c r="E31" t="inlineStr">
        <is>
          <t>Share of Si boundary within ~75 nm of a pore.</t>
        </is>
      </c>
      <c r="F31" t="inlineStr">
        <is>
          <t>3-px dilation contact band (1-px test is degenerate here — Si sits ~0.6 um away).</t>
        </is>
      </c>
      <c r="G31" t="inlineStr"/>
      <c r="H31" t="inlineStr">
        <is>
          <t>Low -&gt; silicon isolated from electrolyte.</t>
        </is>
      </c>
      <c r="I31" t="inlineStr"/>
    </row>
    <row r="32">
      <c r="A32" t="inlineStr">
        <is>
          <t>si_pore_dist_mean_um</t>
        </is>
      </c>
      <c r="B32" t="inlineStr">
        <is>
          <t>Si-to-pore distance, mean</t>
        </is>
      </c>
      <c r="C32" t="inlineStr">
        <is>
          <t>um</t>
        </is>
      </c>
      <c r="D32" t="inlineStr">
        <is>
          <t>D. Pores &amp; transport</t>
        </is>
      </c>
      <c r="E32" t="inlineStr">
        <is>
          <t>How far silicon boundaries sit from the nearest pore.</t>
        </is>
      </c>
      <c r="F32" t="inlineStr">
        <is>
          <t>Distance transform from pore mask over Si boundary pixels.</t>
        </is>
      </c>
      <c r="G32" t="inlineStr"/>
      <c r="H32" t="inlineStr">
        <is>
          <t>High -&gt; silicon far from electrolyte -&gt; poorly wetted, dead capacity.</t>
        </is>
      </c>
      <c r="I32" t="inlineStr"/>
    </row>
    <row r="33">
      <c r="A33" t="inlineStr">
        <is>
          <t>contact_population</t>
        </is>
      </c>
      <c r="B33" t="inlineStr">
        <is>
          <t>Contact-population flag</t>
        </is>
      </c>
      <c r="C33" t="inlineStr">
        <is>
          <t>text</t>
        </is>
      </c>
      <c r="D33" t="inlineStr">
        <is>
          <t>F. imaging guards</t>
        </is>
      </c>
      <c r="E33" t="inlineStr">
        <is>
          <t>Which label population contact metrics used.</t>
        </is>
      </c>
      <c r="F33" t="inlineStr">
        <is>
          <t>'watershed_particles' (correct) or 'connected_components_FALLBACK' (warns).</t>
        </is>
      </c>
      <c r="G33" t="inlineStr"/>
      <c r="H33" t="inlineStr"/>
      <c r="I33" t="inlineStr"/>
    </row>
    <row r="34">
      <c r="A34" t="inlineStr">
        <is>
          <t>si_enclosed_share</t>
        </is>
      </c>
      <c r="B34" t="inlineStr">
        <is>
          <t>Fully-enclosed Si share</t>
        </is>
      </c>
      <c r="C34" t="inlineStr">
        <is>
          <t>fraction</t>
        </is>
      </c>
      <c r="D34" t="inlineStr">
        <is>
          <t>D. Pores &amp; transport</t>
        </is>
      </c>
      <c r="E34" t="inlineStr">
        <is>
          <t>Share of watershed-classified Si particles with zero resolved-pore contact.</t>
        </is>
      </c>
      <c r="F34" t="inlineStr">
        <is>
          <t>Per-particle contact test over watershed label ids (fixed 2026-10: connected components merged touching particles and corrupted the count).</t>
        </is>
      </c>
      <c r="G34" t="inlineStr"/>
      <c r="H34" t="inlineStr">
        <is>
          <t>High -&gt; much silicon may be poorly connected to pore space (NOT proof of inactivity).</t>
        </is>
      </c>
      <c r="I34" t="inlineStr">
        <is>
          <t>Runs high (~0.7-0.99) in every image — relative comparison only; resolved pores only.</t>
        </is>
      </c>
    </row>
    <row r="35">
      <c r="A35" t="inlineStr">
        <is>
          <t>si_contact_num_frac</t>
        </is>
      </c>
      <c r="B35" t="inlineStr">
        <is>
          <t>Pore-contacted Si share (by particle count)</t>
        </is>
      </c>
      <c r="C35" t="inlineStr">
        <is>
          <t>fraction</t>
        </is>
      </c>
      <c r="D35" t="inlineStr">
        <is>
          <t>D. Pores &amp; transport</t>
        </is>
      </c>
      <c r="E35" t="inlineStr">
        <is>
          <t>Number fraction of classified particles touching a resolved pore.</t>
        </is>
      </c>
      <c r="F35" t="inlineStr">
        <is>
          <t>1 - si_enclosed_share over watershed labels.</t>
        </is>
      </c>
      <c r="G35" t="inlineStr"/>
      <c r="H35" t="inlineStr">
        <is>
          <t>Low -&gt; few particles contact resolved pores.</t>
        </is>
      </c>
      <c r="I35" t="inlineStr">
        <is>
          <t>Number fraction — big particles count the same as small ones; not wetting/activity.</t>
        </is>
      </c>
    </row>
    <row r="36">
      <c r="A36" t="inlineStr">
        <is>
          <t>si_contact_area_frac</t>
        </is>
      </c>
      <c r="B36" t="inlineStr">
        <is>
          <t>Pore-contacted Si share (area-weighted)</t>
        </is>
      </c>
      <c r="C36" t="inlineStr">
        <is>
          <t>fraction</t>
        </is>
      </c>
      <c r="D36" t="inlineStr">
        <is>
          <t>D. Pores &amp; transport</t>
        </is>
      </c>
      <c r="E36" t="inlineStr">
        <is>
          <t>Share of classified-Si AREA belonging to particles that touch a resolved pore.</t>
        </is>
      </c>
      <c r="F36" t="inlineStr">
        <is>
          <t>Area-weighted contacted-particle share over watershed labels.</t>
        </is>
      </c>
      <c r="G36" t="inlineStr">
        <is>
          <t>Feeds si_accessible_frac (DFN active-material proxy).</t>
        </is>
      </c>
      <c r="H36" t="inlineStr">
        <is>
          <t>Low -&gt; much Si area may be poorly connected.</t>
        </is>
      </c>
      <c r="I36" t="inlineStr">
        <is>
          <t>Resolved 2-D contact only — not wetting, activity, or 3-D connectivity.</t>
        </is>
      </c>
    </row>
    <row r="37">
      <c r="A37" t="inlineStr">
        <is>
          <t>si_area_near_pore_frac</t>
        </is>
      </c>
      <c r="B37" t="inlineStr">
        <is>
          <t>Si area inside pore-contact band</t>
        </is>
      </c>
      <c r="C37" t="inlineStr">
        <is>
          <t>fraction</t>
        </is>
      </c>
      <c r="D37" t="inlineStr">
        <is>
          <t>D. Pores &amp; transport</t>
        </is>
      </c>
      <c r="E37" t="inlineStr">
        <is>
          <t>Share of Si pixels lying within the ~75 nm contact band itself.</t>
        </is>
      </c>
      <c r="F37" t="inlineStr">
        <is>
          <t>(si_part &amp; near_pore) / si_part.</t>
        </is>
      </c>
      <c r="G37" t="inlineStr"/>
      <c r="H37" t="inlineStr"/>
      <c r="I37" t="inlineStr">
        <is>
          <t>Very small — most contact is glancing in 2-D.</t>
        </is>
      </c>
    </row>
    <row r="38">
      <c r="A38" t="inlineStr">
        <is>
          <t>si_coverage_mean</t>
        </is>
      </c>
      <c r="B38" t="inlineStr">
        <is>
          <t>Si boundary coverage by pores, mean</t>
        </is>
      </c>
      <c r="C38" t="inlineStr">
        <is>
          <t>fraction</t>
        </is>
      </c>
      <c r="D38" t="inlineStr">
        <is>
          <t>D. Pores &amp; transport</t>
        </is>
      </c>
      <c r="E38" t="inlineStr">
        <is>
          <t>Mean share of each silicon particle's boundary within ~75 nm of a pore.</t>
        </is>
      </c>
      <c r="F38" t="inlineStr">
        <is>
          <t>Per-object boundary-coverage (ASSB-style coverage%).</t>
        </is>
      </c>
      <c r="G38" t="inlineStr"/>
      <c r="H38" t="inlineStr">
        <is>
          <t>Low -&gt; silicon poorly wetted by electrolyte.</t>
        </is>
      </c>
      <c r="I38" t="inlineStr"/>
    </row>
    <row r="39">
      <c r="A39" t="inlineStr">
        <is>
          <t>si_coverage_p10</t>
        </is>
      </c>
      <c r="B39" t="inlineStr">
        <is>
          <t>Si boundary coverage, worst 10%</t>
        </is>
      </c>
      <c r="C39" t="inlineStr">
        <is>
          <t>fraction</t>
        </is>
      </c>
      <c r="D39" t="inlineStr">
        <is>
          <t>D. Pores &amp; transport</t>
        </is>
      </c>
      <c r="E39" t="inlineStr">
        <is>
          <t>Coverage of the least-connected silicon particles.</t>
        </is>
      </c>
      <c r="F39" t="inlineStr">
        <is>
          <t>10th percentile of per-object coverage.</t>
        </is>
      </c>
      <c r="G39" t="inlineStr"/>
      <c r="H39" t="inlineStr">
        <is>
          <t>Near 0 -&gt; a real tail of isolated silicon exists.</t>
        </is>
      </c>
      <c r="I39" t="inlineStr"/>
    </row>
    <row r="40">
      <c r="A40" t="inlineStr">
        <is>
          <t>si_lowcoverage_share</t>
        </is>
      </c>
      <c r="B40" t="inlineStr">
        <is>
          <t>Low-coverage Si share</t>
        </is>
      </c>
      <c r="C40" t="inlineStr">
        <is>
          <t>fraction</t>
        </is>
      </c>
      <c r="D40" t="inlineStr">
        <is>
          <t>D. Pores &amp; transport</t>
        </is>
      </c>
      <c r="E40" t="inlineStr">
        <is>
          <t>Share of silicon particles with &lt;5% of their boundary near a pore — effectively isolated.</t>
        </is>
      </c>
      <c r="F40" t="inlineStr">
        <is>
          <t>Share of objects below the coverage cutoff.</t>
        </is>
      </c>
      <c r="G40" t="inlineStr"/>
      <c r="H40" t="inlineStr">
        <is>
          <t>High -&gt; substantial dead silicon.</t>
        </is>
      </c>
      <c r="I40" t="inlineStr"/>
    </row>
    <row r="41">
      <c r="A41" t="inlineStr">
        <is>
          <t>si_accessible_frac</t>
        </is>
      </c>
      <c r="B41" t="inlineStr">
        <is>
          <t>Accessible silicon fraction (resolved-pore-contact proxy)</t>
        </is>
      </c>
      <c r="C41" t="inlineStr">
        <is>
          <t>fraction</t>
        </is>
      </c>
      <c r="D41" t="inlineStr">
        <is>
          <t>D. Pores &amp; transport</t>
        </is>
      </c>
      <c r="E41" t="inlineStr">
        <is>
          <t>Share of classified-Si area in particles touching a resolved pore — the DFN's dead-Si proxy bracket.</t>
        </is>
      </c>
      <c r="F41">
        <f> si_contact_area_frac (area-weighted, watershed identity). Renamed semantics 2026-10: the shipped version mixed connected-component counts with a watershed denominator (hawkfj64: 0.524 -&gt; 0.371).</f>
        <v/>
      </c>
      <c r="G41" t="inlineStr">
        <is>
          <t>Scales Secondary active-material fraction (dead-Si proxy)</t>
        </is>
      </c>
      <c r="H41" t="inlineStr">
        <is>
          <t>Low -&gt; much Si area may be poorly connected to resolved pores.</t>
        </is>
      </c>
      <c r="I41" t="inlineStr">
        <is>
          <t>A 2-D resolved-pore-contact structural proxy — NOT electrochemical activity, wetting, or 3-D connectivity.</t>
        </is>
      </c>
    </row>
    <row r="42">
      <c r="A42" t="inlineStr">
        <is>
          <t>si_sv_um_inv</t>
        </is>
      </c>
      <c r="B42" t="inlineStr">
        <is>
          <t>Si surface area per volume</t>
        </is>
      </c>
      <c r="C42" t="inlineStr">
        <is>
          <t>um^-1</t>
        </is>
      </c>
      <c r="D42" t="inlineStr">
        <is>
          <t>B. Silicon particles</t>
        </is>
      </c>
      <c r="E42" t="inlineStr">
        <is>
          <t>Silicon boundary exposed to the rest of the coating, per unit volume.</t>
        </is>
      </c>
      <c r="F42" t="inlineStr">
        <is>
          <t>Crofton stereology: S_V = transitions * px / area.</t>
        </is>
      </c>
      <c r="G42" t="inlineStr">
        <is>
          <t>(reported; can scale SEI exchange current)</t>
        </is>
      </c>
      <c r="H42" t="inlineStr">
        <is>
          <t>High -&gt; more Si-electrolyte contact -&gt; more SEI growth.</t>
        </is>
      </c>
      <c r="I42" t="inlineStr"/>
    </row>
    <row r="43">
      <c r="A43" t="inlineStr">
        <is>
          <t>gr_sv_um_inv</t>
        </is>
      </c>
      <c r="B43" t="inlineStr">
        <is>
          <t>Graphite surface per volume</t>
        </is>
      </c>
      <c r="C43" t="inlineStr">
        <is>
          <t>um^-1</t>
        </is>
      </c>
      <c r="D43" t="inlineStr">
        <is>
          <t>C. Graphite matrix</t>
        </is>
      </c>
      <c r="E43" t="inlineStr">
        <is>
          <t>Bulk material boundary exposed to pores, per unit volume.</t>
        </is>
      </c>
      <c r="F43" t="inlineStr">
        <is>
          <t>Crofton stereology on bulk-pore transitions.</t>
        </is>
      </c>
      <c r="G43" t="inlineStr">
        <is>
          <t>(basis for) Primary particle effective radius</t>
        </is>
      </c>
      <c r="H43" t="inlineStr"/>
      <c r="I43" t="inlineStr"/>
    </row>
    <row r="44">
      <c r="A44" t="inlineStr">
        <is>
          <t>gr_radius_eff_um</t>
        </is>
      </c>
      <c r="B44" t="inlineStr">
        <is>
          <t>Graphite effective particle radius</t>
        </is>
      </c>
      <c r="C44" t="inlineStr">
        <is>
          <t>um</t>
        </is>
      </c>
      <c r="D44" t="inlineStr">
        <is>
          <t>C. Graphite matrix</t>
        </is>
      </c>
      <c r="E44" t="inlineStr">
        <is>
          <t>Sphere-equivalent radius giving the measured surface-to-volume ratio.</t>
        </is>
      </c>
      <c r="F44" t="inlineStr">
        <is>
          <t>R_eff = 3 * V_AM / S_V.</t>
        </is>
      </c>
      <c r="G44" t="inlineStr">
        <is>
          <t>Primary: Negative electrode particle radius [m]</t>
        </is>
      </c>
      <c r="H44" t="inlineStr">
        <is>
          <t>Feeds lithium diffusion length inside graphite.</t>
        </is>
      </c>
      <c r="I44" t="inlineStr">
        <is>
          <t>Flakes are not spheres — diffusion-equivalent approximation.</t>
        </is>
      </c>
    </row>
    <row r="45">
      <c r="A45" t="inlineStr">
        <is>
          <t>gr_chord_ratio_xz</t>
        </is>
      </c>
      <c r="B45" t="inlineStr">
        <is>
          <t>Graphite flake alignment (h/v)</t>
        </is>
      </c>
      <c r="C45" t="inlineStr">
        <is>
          <t>-</t>
        </is>
      </c>
      <c r="D45" t="inlineStr">
        <is>
          <t>C. Graphite matrix</t>
        </is>
      </c>
      <c r="E45" t="inlineStr">
        <is>
          <t>Mean horizontal vs vertical chord through bulk; &gt;1 = flakes lie flat.</t>
        </is>
      </c>
      <c r="F45" t="inlineStr">
        <is>
          <t>Chord-length statistics.</t>
        </is>
      </c>
      <c r="G45" t="inlineStr"/>
      <c r="H45" t="inlineStr">
        <is>
          <t>High -&gt; strong layering -&gt; anisotropic ion/electron paths.</t>
        </is>
      </c>
      <c r="I45" t="inlineStr"/>
    </row>
    <row r="46">
      <c r="A46" t="inlineStr">
        <is>
          <t>pore_d50_um</t>
        </is>
      </c>
      <c r="B46" t="inlineStr">
        <is>
          <t>Pore diameter, median</t>
        </is>
      </c>
      <c r="C46" t="inlineStr">
        <is>
          <t>um</t>
        </is>
      </c>
      <c r="D46" t="inlineStr">
        <is>
          <t>D. Pores &amp; transport</t>
        </is>
      </c>
      <c r="E46" t="inlineStr">
        <is>
          <t>Typical size of visible pores.</t>
        </is>
      </c>
      <c r="F46" t="inlineStr">
        <is>
          <t>Median equivalent-circle diameter of pore objects.</t>
        </is>
      </c>
      <c r="G46" t="inlineStr"/>
      <c r="H46" t="inlineStr"/>
      <c r="I46" t="inlineStr">
        <is>
          <t>Resolved pores only.</t>
        </is>
      </c>
    </row>
    <row r="47">
      <c r="A47" t="inlineStr">
        <is>
          <t>pore_count_per_mpx</t>
        </is>
      </c>
      <c r="B47" t="inlineStr">
        <is>
          <t>Pore count density</t>
        </is>
      </c>
      <c r="C47" t="inlineStr">
        <is>
          <t>per Mpx</t>
        </is>
      </c>
      <c r="D47" t="inlineStr">
        <is>
          <t>D. Pores &amp; transport</t>
        </is>
      </c>
      <c r="E47" t="inlineStr">
        <is>
          <t>Number of pore objects per million pixels.</t>
        </is>
      </c>
      <c r="F47" t="inlineStr">
        <is>
          <t>Count of pore objects &gt;= 20 px.</t>
        </is>
      </c>
      <c r="G47" t="inlineStr"/>
      <c r="H47" t="inlineStr">
        <is>
          <t>High -&gt; more fragmented pore network or finer pores.</t>
        </is>
      </c>
      <c r="I47" t="inlineStr"/>
    </row>
    <row r="48">
      <c r="A48" t="inlineStr">
        <is>
          <t>big_void_frac</t>
        </is>
      </c>
      <c r="B48" t="inlineStr">
        <is>
          <t>Large-void fraction</t>
        </is>
      </c>
      <c r="C48" t="inlineStr">
        <is>
          <t>fraction</t>
        </is>
      </c>
      <c r="D48" t="inlineStr">
        <is>
          <t>D. Pores &amp; transport</t>
        </is>
      </c>
      <c r="E48" t="inlineStr">
        <is>
          <t>Area share of very large holes (&gt;0.5 % of image).</t>
        </is>
      </c>
      <c r="F48" t="inlineStr">
        <is>
          <t>Pore objects above the large-void area cutoff.</t>
        </is>
      </c>
      <c r="G48" t="inlineStr"/>
      <c r="H48" t="inlineStr">
        <is>
          <t>High -&gt; manufacturing voids / contamination damage.</t>
        </is>
      </c>
      <c r="I48" t="inlineStr"/>
    </row>
    <row r="49">
      <c r="A49" t="inlineStr">
        <is>
          <t>crack_frac_h</t>
        </is>
      </c>
      <c r="B49" t="inlineStr">
        <is>
          <t>Horizontal crack fraction</t>
        </is>
      </c>
      <c r="C49" t="inlineStr">
        <is>
          <t>fraction</t>
        </is>
      </c>
      <c r="D49" t="inlineStr">
        <is>
          <t>D. Pores &amp; transport</t>
        </is>
      </c>
      <c r="E49" t="inlineStr">
        <is>
          <t>Area share of elongated pores lying along the foil.</t>
        </is>
      </c>
      <c r="F49" t="inlineStr">
        <is>
          <t>Pore objects with aspect &gt; 3 within 30 deg of foil.</t>
        </is>
      </c>
      <c r="G49" t="inlineStr"/>
      <c r="H49" t="inlineStr">
        <is>
          <t>High -&gt; delamination-type damage.</t>
        </is>
      </c>
      <c r="I49" t="inlineStr"/>
    </row>
    <row r="50">
      <c r="A50" t="inlineStr">
        <is>
          <t>crack_frac_v</t>
        </is>
      </c>
      <c r="B50" t="inlineStr">
        <is>
          <t>Vertical crack fraction</t>
        </is>
      </c>
      <c r="C50" t="inlineStr">
        <is>
          <t>fraction</t>
        </is>
      </c>
      <c r="D50" t="inlineStr">
        <is>
          <t>D. Pores &amp; transport</t>
        </is>
      </c>
      <c r="E50" t="inlineStr">
        <is>
          <t>Area share of elongated pores pointing across the coating (tearing signature).</t>
        </is>
      </c>
      <c r="F50" t="inlineStr">
        <is>
          <t>Pore objects with aspect &gt; 3 oriented &gt; 30 deg from foil.</t>
        </is>
      </c>
      <c r="G50" t="inlineStr"/>
      <c r="H50" t="inlineStr">
        <is>
          <t>High -&gt; mechanical tears; also express ion lanes.</t>
        </is>
      </c>
      <c r="I50" t="inlineStr">
        <is>
          <t>May partly reflect polishing/pull-out artefacts.</t>
        </is>
      </c>
    </row>
    <row r="51">
      <c r="A51" t="inlineStr">
        <is>
          <t>round_pore_frac</t>
        </is>
      </c>
      <c r="B51" t="inlineStr">
        <is>
          <t>Round pore fraction</t>
        </is>
      </c>
      <c r="C51" t="inlineStr">
        <is>
          <t>fraction</t>
        </is>
      </c>
      <c r="D51" t="inlineStr">
        <is>
          <t>D. Pores &amp; transport</t>
        </is>
      </c>
      <c r="E51" t="inlineStr">
        <is>
          <t>Area share of compact, non-elongated pores (control metric).</t>
        </is>
      </c>
      <c r="F51" t="inlineStr">
        <is>
          <t>Pore objects with aspect &lt;= 3.</t>
        </is>
      </c>
      <c r="G51" t="inlineStr"/>
      <c r="H51" t="inlineStr">
        <is>
          <t>Stable value = segmentation behaving normally.</t>
        </is>
      </c>
      <c r="I51" t="inlineStr"/>
    </row>
    <row r="52">
      <c r="A52" t="inlineStr">
        <is>
          <t>pore_verticality_aw</t>
        </is>
      </c>
      <c r="B52" t="inlineStr">
        <is>
          <t>Pore verticality (area-weighted)</t>
        </is>
      </c>
      <c r="C52" t="inlineStr">
        <is>
          <t>-</t>
        </is>
      </c>
      <c r="D52" t="inlineStr">
        <is>
          <t>D. Pores &amp; transport</t>
        </is>
      </c>
      <c r="E52" t="inlineStr">
        <is>
          <t>How upright the pore area is overall (1 = vertical).</t>
        </is>
      </c>
      <c r="F52" t="inlineStr">
        <is>
          <t>Area-weighted |sin(angle vs foil)| over pore objects.</t>
        </is>
      </c>
      <c r="G52" t="inlineStr"/>
      <c r="H52" t="inlineStr">
        <is>
          <t>Low -&gt; pores lie flat -&gt; longer ion path.</t>
        </is>
      </c>
      <c r="I52" t="inlineStr"/>
    </row>
    <row r="53">
      <c r="A53" t="inlineStr">
        <is>
          <t>pore_chord_h_um</t>
        </is>
      </c>
      <c r="B53" t="inlineStr">
        <is>
          <t>Pore chord, horizontal</t>
        </is>
      </c>
      <c r="C53" t="inlineStr">
        <is>
          <t>um</t>
        </is>
      </c>
      <c r="D53" t="inlineStr">
        <is>
          <t>D. Pores &amp; transport</t>
        </is>
      </c>
      <c r="E53" t="inlineStr">
        <is>
          <t>Mean uninterrupted pore run along image rows.</t>
        </is>
      </c>
      <c r="F53" t="inlineStr">
        <is>
          <t>Line-intercept (chord) statistics.</t>
        </is>
      </c>
      <c r="G53" t="inlineStr"/>
      <c r="H53" t="inlineStr"/>
      <c r="I53" t="inlineStr"/>
    </row>
    <row r="54">
      <c r="A54" t="inlineStr">
        <is>
          <t>pore_chord_v_um</t>
        </is>
      </c>
      <c r="B54" t="inlineStr">
        <is>
          <t>Pore chord, vertical</t>
        </is>
      </c>
      <c r="C54" t="inlineStr">
        <is>
          <t>um</t>
        </is>
      </c>
      <c r="D54" t="inlineStr">
        <is>
          <t>D. Pores &amp; transport</t>
        </is>
      </c>
      <c r="E54" t="inlineStr">
        <is>
          <t>Mean uninterrupted pore run along image columns.</t>
        </is>
      </c>
      <c r="F54" t="inlineStr">
        <is>
          <t>Line-intercept (chord) statistics.</t>
        </is>
      </c>
      <c r="G54" t="inlineStr"/>
      <c r="H54" t="inlineStr"/>
      <c r="I54" t="inlineStr"/>
    </row>
    <row r="55">
      <c r="A55" t="inlineStr">
        <is>
          <t>pore_anisotropy</t>
        </is>
      </c>
      <c r="B55" t="inlineStr">
        <is>
          <t>Pore anisotropy (flat vs upright)</t>
        </is>
      </c>
      <c r="C55" t="inlineStr">
        <is>
          <t>-</t>
        </is>
      </c>
      <c r="D55" t="inlineStr">
        <is>
          <t>D. Pores &amp; transport</t>
        </is>
      </c>
      <c r="E55" t="inlineStr">
        <is>
          <t>&gt;1 means pores lie flat along the foil.</t>
        </is>
      </c>
      <c r="F55" t="inlineStr">
        <is>
          <t>Horizontal / vertical chord ratio on the pore mask.</t>
        </is>
      </c>
      <c r="G55" t="inlineStr"/>
      <c r="H55" t="inlineStr">
        <is>
          <t>High -&gt; flat pores lengthen the through-plane ion path -&gt; plating risk at fast charge.</t>
        </is>
      </c>
      <c r="I55" t="inlineStr"/>
    </row>
    <row r="56">
      <c r="A56" t="inlineStr">
        <is>
          <t>tau_vertical_proxy</t>
        </is>
      </c>
      <c r="B56" t="inlineStr">
        <is>
          <t>Tortuosity proxy, vertical</t>
        </is>
      </c>
      <c r="C56" t="inlineStr">
        <is>
          <t>-</t>
        </is>
      </c>
      <c r="D56" t="inlineStr">
        <is>
          <t>D. Pores &amp; transport</t>
        </is>
      </c>
      <c r="E56" t="inlineStr">
        <is>
          <t>How much longer a path through the pore network is than a straight line, top-to-bottom.</t>
        </is>
      </c>
      <c r="F56" t="inlineStr">
        <is>
          <t>Geodesic (maze-solving) distance through pores vs straight depth.</t>
        </is>
      </c>
      <c r="G56" t="inlineStr">
        <is>
          <t>(basis for) Bruggeman coefficient</t>
        </is>
      </c>
      <c r="H56" t="inlineStr">
        <is>
          <t>High -&gt; sluggish ion transport through thickness.</t>
        </is>
      </c>
      <c r="I56" t="inlineStr">
        <is>
          <t>Image top is NOT the separator (edges unknown) — use the anisotropy ratio, not the absolute.</t>
        </is>
      </c>
    </row>
    <row r="57">
      <c r="A57" t="inlineStr">
        <is>
          <t>tau_horizontal_proxy</t>
        </is>
      </c>
      <c r="B57" t="inlineStr">
        <is>
          <t>Tortuosity proxy, horizontal</t>
        </is>
      </c>
      <c r="C57" t="inlineStr">
        <is>
          <t>-</t>
        </is>
      </c>
      <c r="D57" t="inlineStr">
        <is>
          <t>D. Pores &amp; transport</t>
        </is>
      </c>
      <c r="E57" t="inlineStr">
        <is>
          <t>Same measure along the in-plane direction.</t>
        </is>
      </c>
      <c r="F57" t="inlineStr">
        <is>
          <t>Geodesic distance left-to-right.</t>
        </is>
      </c>
      <c r="G57" t="inlineStr"/>
      <c r="H57" t="inlineStr"/>
      <c r="I57" t="inlineStr"/>
    </row>
    <row r="58">
      <c r="A58" t="inlineStr">
        <is>
          <t>tau_anisotropy</t>
        </is>
      </c>
      <c r="B58" t="inlineStr">
        <is>
          <t>Tortuosity anisotropy (vertical/horizontal)</t>
        </is>
      </c>
      <c r="C58" t="inlineStr">
        <is>
          <t>-</t>
        </is>
      </c>
      <c r="D58" t="inlineStr">
        <is>
          <t>D. Pores &amp; transport</t>
        </is>
      </c>
      <c r="E58" t="inlineStr">
        <is>
          <t>Directional penalty of the pore network.</t>
        </is>
      </c>
      <c r="F58" t="inlineStr">
        <is>
          <t>tau_vertical_proxy / tau_horizontal_proxy.</t>
        </is>
      </c>
      <c r="G58" t="inlineStr"/>
      <c r="H58" t="inlineStr">
        <is>
          <t>High -&gt; ions detour much more through-thickness than in-plane -&gt; plating risk.</t>
        </is>
      </c>
      <c r="I58" t="inlineStr"/>
    </row>
    <row r="59">
      <c r="A59" t="inlineStr">
        <is>
          <t>percolation_reach_2d</t>
        </is>
      </c>
      <c r="B59" t="inlineStr">
        <is>
          <t>Pore connectivity (2D reach)</t>
        </is>
      </c>
      <c r="C59" t="inlineStr">
        <is>
          <t>fraction</t>
        </is>
      </c>
      <c r="D59" t="inlineStr">
        <is>
          <t>D. Pores &amp; transport</t>
        </is>
      </c>
      <c r="E59" t="inlineStr">
        <is>
          <t>Fraction of pore pixels connected to the top edge through the pore network.</t>
        </is>
      </c>
      <c r="F59" t="inlineStr">
        <is>
          <t>Geodesic flood from the edge; connected share.</t>
        </is>
      </c>
      <c r="G59" t="inlineStr"/>
      <c r="H59" t="inlineStr">
        <is>
          <t>Low -&gt; dead-end pores carry no ions.</t>
        </is>
      </c>
      <c r="I59" t="inlineStr">
        <is>
          <t>2D proxy only — true connectivity is 3D (needs tomography or the bonus reconstruction branch).</t>
        </is>
      </c>
    </row>
    <row r="60">
      <c r="A60" t="inlineStr">
        <is>
          <t>pore_largest_region_frac</t>
        </is>
      </c>
      <c r="B60" t="inlineStr">
        <is>
          <t>Largest connected pore region</t>
        </is>
      </c>
      <c r="C60" t="inlineStr">
        <is>
          <t>fraction</t>
        </is>
      </c>
      <c r="D60" t="inlineStr">
        <is>
          <t>D. Pores &amp; transport</t>
        </is>
      </c>
      <c r="E60" t="inlineStr">
        <is>
          <t>Biggest connected pore blob as a share of all pore pixels.</t>
        </is>
      </c>
      <c r="F60" t="inlineStr">
        <is>
          <t>Connected components on the pore mask.</t>
        </is>
      </c>
      <c r="G60" t="inlineStr"/>
      <c r="H60" t="inlineStr">
        <is>
          <t>Low -&gt; fragmented pore network.</t>
        </is>
      </c>
      <c r="I60" t="inlineStr"/>
    </row>
    <row r="61">
      <c r="A61" t="inlineStr">
        <is>
          <t>bruggeman_b_eff</t>
        </is>
      </c>
      <c r="B61" t="inlineStr">
        <is>
          <t>Effective Bruggeman exponent</t>
        </is>
      </c>
      <c r="C61" t="inlineStr">
        <is>
          <t>-</t>
        </is>
      </c>
      <c r="D61" t="inlineStr">
        <is>
          <t>D. Pores &amp; transport</t>
        </is>
      </c>
      <c r="E61" t="inlineStr">
        <is>
          <t>Tortuosity-porosity exponent implied by the measured tau proxy.</t>
        </is>
      </c>
      <c r="F61" t="inlineStr">
        <is>
          <t>b = 1 - ln(tau) / ln(eps), clipped to [1, 3]; default 1.5 if degenerate.</t>
        </is>
      </c>
      <c r="G61" t="inlineStr">
        <is>
          <t>Negative electrode Bruggeman coefficient (electrolyte)</t>
        </is>
      </c>
      <c r="H61" t="inlineStr">
        <is>
          <t>High -&gt; steeper transport penalty as porosity drops.</t>
        </is>
      </c>
      <c r="I61" t="inlineStr">
        <is>
          <t>Heuristic calibration — replaced by TauFactor tau_z if the 3D bonus branch runs.</t>
        </is>
      </c>
    </row>
    <row r="62">
      <c r="A62" t="inlineStr">
        <is>
          <t>corr_len_pore_um</t>
        </is>
      </c>
      <c r="B62" t="inlineStr">
        <is>
          <t>Pore correlation length</t>
        </is>
      </c>
      <c r="C62" t="inlineStr">
        <is>
          <t>um</t>
        </is>
      </c>
      <c r="D62" t="inlineStr">
        <is>
          <t>D. Pores &amp; transport</t>
        </is>
      </c>
      <c r="E62" t="inlineStr">
        <is>
          <t>Characteristic size of pore regions.</t>
        </is>
      </c>
      <c r="F62" t="inlineStr">
        <is>
          <t>Two-point correlation (FFT) decay to 1/e.</t>
        </is>
      </c>
      <c r="G62" t="inlineStr"/>
      <c r="H62" t="inlineStr"/>
      <c r="I62" t="inlineStr"/>
    </row>
    <row r="63">
      <c r="A63" t="inlineStr">
        <is>
          <t>corr_len_bulk_um</t>
        </is>
      </c>
      <c r="B63" t="inlineStr">
        <is>
          <t>Bulk correlation length</t>
        </is>
      </c>
      <c r="C63" t="inlineStr">
        <is>
          <t>um</t>
        </is>
      </c>
      <c r="D63" t="inlineStr">
        <is>
          <t>D. Pores &amp; transport</t>
        </is>
      </c>
      <c r="E63" t="inlineStr">
        <is>
          <t>Characteristic size of graphite domains.</t>
        </is>
      </c>
      <c r="F63" t="inlineStr">
        <is>
          <t>Two-point correlation (FFT) decay to 1/e.</t>
        </is>
      </c>
      <c r="G63" t="inlineStr"/>
      <c r="H63" t="inlineStr"/>
      <c r="I63" t="inlineStr"/>
    </row>
    <row r="64">
      <c r="A64" t="inlineStr">
        <is>
          <t>corr_len_si_um</t>
        </is>
      </c>
      <c r="B64" t="inlineStr">
        <is>
          <t>Si correlation length</t>
        </is>
      </c>
      <c r="C64" t="inlineStr">
        <is>
          <t>um</t>
        </is>
      </c>
      <c r="D64" t="inlineStr">
        <is>
          <t>D. Pores &amp; transport</t>
        </is>
      </c>
      <c r="E64" t="inlineStr">
        <is>
          <t>Characteristic spacing/size of silicon regions.</t>
        </is>
      </c>
      <c r="F64" t="inlineStr">
        <is>
          <t>Two-point correlation (FFT) decay to 1/e.</t>
        </is>
      </c>
      <c r="G64" t="inlineStr"/>
      <c r="H64" t="inlineStr"/>
      <c r="I64" t="inlineStr"/>
    </row>
    <row r="65">
      <c r="A65" t="inlineStr">
        <is>
          <t>img_p1</t>
        </is>
      </c>
      <c r="B65" t="inlineStr">
        <is>
          <t>Raw intensity, 1st pct</t>
        </is>
      </c>
      <c r="C65" t="inlineStr">
        <is>
          <t>gray</t>
        </is>
      </c>
      <c r="D65" t="inlineStr">
        <is>
          <t>F. Imaging guards</t>
        </is>
      </c>
      <c r="E65" t="inlineStr">
        <is>
          <t>Dark end of the raw histogram.</t>
        </is>
      </c>
      <c r="F65" t="inlineStr">
        <is>
          <t>Percentile of raw pixels.</t>
        </is>
      </c>
      <c r="G65" t="inlineStr"/>
      <c r="H65" t="inlineStr"/>
      <c r="I65" t="inlineStr">
        <is>
          <t>Guard rail.</t>
        </is>
      </c>
    </row>
    <row r="66">
      <c r="A66" t="inlineStr">
        <is>
          <t>img_p50</t>
        </is>
      </c>
      <c r="B66" t="inlineStr">
        <is>
          <t>Raw intensity, median</t>
        </is>
      </c>
      <c r="C66" t="inlineStr">
        <is>
          <t>gray</t>
        </is>
      </c>
      <c r="D66" t="inlineStr">
        <is>
          <t>F. Imaging guards</t>
        </is>
      </c>
      <c r="E66" t="inlineStr">
        <is>
          <t>Middle of the raw histogram.</t>
        </is>
      </c>
      <c r="F66" t="inlineStr">
        <is>
          <t>Percentile of raw pixels.</t>
        </is>
      </c>
      <c r="G66" t="inlineStr"/>
      <c r="H66" t="inlineStr"/>
      <c r="I66" t="inlineStr">
        <is>
          <t>Guard rail.</t>
        </is>
      </c>
    </row>
    <row r="67">
      <c r="A67" t="inlineStr">
        <is>
          <t>img_p99</t>
        </is>
      </c>
      <c r="B67" t="inlineStr">
        <is>
          <t>Raw intensity, 99th pct</t>
        </is>
      </c>
      <c r="C67" t="inlineStr">
        <is>
          <t>gray</t>
        </is>
      </c>
      <c r="D67" t="inlineStr">
        <is>
          <t>F. Imaging guards</t>
        </is>
      </c>
      <c r="E67" t="inlineStr">
        <is>
          <t>Bright end of the raw histogram.</t>
        </is>
      </c>
      <c r="F67" t="inlineStr">
        <is>
          <t>Percentile of raw pixels.</t>
        </is>
      </c>
      <c r="G67" t="inlineStr"/>
      <c r="H67" t="inlineStr"/>
      <c r="I67" t="inlineStr">
        <is>
          <t>Guard rail.</t>
        </is>
      </c>
    </row>
    <row r="68">
      <c r="A68" t="inlineStr">
        <is>
          <t>si_bulk_contrast</t>
        </is>
      </c>
      <c r="B68" t="inlineStr">
        <is>
          <t>Si vs bulk contrast ratio</t>
        </is>
      </c>
      <c r="C68" t="inlineStr">
        <is>
          <t>-</t>
        </is>
      </c>
      <c r="D68" t="inlineStr">
        <is>
          <t>F. Imaging guards</t>
        </is>
      </c>
      <c r="E68" t="inlineStr">
        <is>
          <t>How much brighter silicon is than bulk, normalised to the pore-bulk gap.</t>
        </is>
      </c>
      <c r="F68" t="inlineStr">
        <is>
          <t>(I_si - I_pore) / (I_bulk - I_pore) on raw intensities.</t>
        </is>
      </c>
      <c r="G68" t="inlineStr"/>
      <c r="H68" t="inlineStr">
        <is>
          <t>Low (~&lt;1.9 here) -&gt; low-contrast photo; Si may be overcounted (see bright_fine_frac).</t>
        </is>
      </c>
      <c r="I68" t="inlineStr">
        <is>
          <t>Guard rail, not a material property.</t>
        </is>
      </c>
    </row>
    <row r="69">
      <c r="A69" t="inlineStr">
        <is>
          <t>noise_mad</t>
        </is>
      </c>
      <c r="B69" t="inlineStr">
        <is>
          <t>Image noise level</t>
        </is>
      </c>
      <c r="C69" t="inlineStr">
        <is>
          <t>gray</t>
        </is>
      </c>
      <c r="D69" t="inlineStr">
        <is>
          <t>F. Imaging guards</t>
        </is>
      </c>
      <c r="E69" t="inlineStr">
        <is>
          <t>Pixel noise on bulk material.</t>
        </is>
      </c>
      <c r="F69" t="inlineStr">
        <is>
          <t>1.4826 * MAD of (raw - Gaussian(raw, 2 px)).</t>
        </is>
      </c>
      <c r="G69" t="inlineStr"/>
      <c r="H69" t="inlineStr">
        <is>
          <t>High -&gt; segmentation less reliable.</t>
        </is>
      </c>
      <c r="I69" t="inlineStr">
        <is>
          <t>Guard rail.</t>
        </is>
      </c>
    </row>
    <row r="70">
      <c r="A70" t="inlineStr">
        <is>
          <t>sharpness_lapvar</t>
        </is>
      </c>
      <c r="B70" t="inlineStr">
        <is>
          <t>Image sharpness</t>
        </is>
      </c>
      <c r="C70" t="inlineStr">
        <is>
          <t>gray^2</t>
        </is>
      </c>
      <c r="D70" t="inlineStr">
        <is>
          <t>F. Imaging guards</t>
        </is>
      </c>
      <c r="E70" t="inlineStr">
        <is>
          <t>Focus quality (variance of Laplacian on bulk).</t>
        </is>
      </c>
      <c r="F70" t="inlineStr">
        <is>
          <t>Var(|d2I|) over bulk pixels.</t>
        </is>
      </c>
      <c r="G70" t="inlineStr"/>
      <c r="H70" t="inlineStr">
        <is>
          <t>Low -&gt; blurry photo.</t>
        </is>
      </c>
      <c r="I70" t="inlineStr">
        <is>
          <t>Guard rail.</t>
        </is>
      </c>
    </row>
    <row r="71">
      <c r="A71" t="inlineStr">
        <is>
          <t>shading_slope</t>
        </is>
      </c>
      <c r="B71" t="inlineStr">
        <is>
          <t>Top-to-bottom shading slope</t>
        </is>
      </c>
      <c r="C71" t="inlineStr">
        <is>
          <t>gray/px</t>
        </is>
      </c>
      <c r="D71" t="inlineStr">
        <is>
          <t>F. Imaging guards</t>
        </is>
      </c>
      <c r="E71" t="inlineStr">
        <is>
          <t>Brightness drift across the frame.</t>
        </is>
      </c>
      <c r="F71" t="inlineStr">
        <is>
          <t>Linear slope of the row-median of bulk pixels.</t>
        </is>
      </c>
      <c r="G71" t="inlineStr"/>
      <c r="H71" t="inlineStr">
        <is>
          <t>Strong -&gt; uneven illumination left over.</t>
        </is>
      </c>
      <c r="I71" t="inlineStr">
        <is>
          <t>Guard rail.</t>
        </is>
      </c>
    </row>
    <row r="72">
      <c r="A72" t="inlineStr">
        <is>
          <t>has_inlens</t>
        </is>
      </c>
      <c r="B72" t="inlineStr">
        <is>
          <t>InLens channel present</t>
        </is>
      </c>
      <c r="C72" t="inlineStr">
        <is>
          <t>0/1</t>
        </is>
      </c>
      <c r="D72" t="inlineStr">
        <is>
          <t>F. Imaging guards</t>
        </is>
      </c>
      <c r="E72" t="inlineStr">
        <is>
          <t>Secondary-electron image exists for this location.</t>
        </is>
      </c>
      <c r="F72" t="inlineStr">
        <is>
          <t>File existence check.</t>
        </is>
      </c>
      <c r="G72" t="inlineStr"/>
      <c r="H72" t="inlineStr"/>
      <c r="I72" t="inlineStr">
        <is>
          <t>Guard rail.</t>
        </is>
      </c>
    </row>
    <row r="73">
      <c r="A73" t="inlineStr">
        <is>
          <t>has_etd_or_se</t>
        </is>
      </c>
      <c r="B73" t="inlineStr">
        <is>
          <t>ETD/SE channel present</t>
        </is>
      </c>
      <c r="C73" t="inlineStr">
        <is>
          <t>0/1</t>
        </is>
      </c>
      <c r="D73" t="inlineStr">
        <is>
          <t>F. Imaging guards</t>
        </is>
      </c>
      <c r="E73" t="inlineStr">
        <is>
          <t>Secondary detector image exists.</t>
        </is>
      </c>
      <c r="F73" t="inlineStr">
        <is>
          <t>File existence check.</t>
        </is>
      </c>
      <c r="G73" t="inlineStr"/>
      <c r="H73" t="inlineStr"/>
      <c r="I73" t="inlineStr">
        <is>
          <t>Guard rail.</t>
        </is>
      </c>
    </row>
    <row r="74">
      <c r="A74" t="inlineStr">
        <is>
          <t>pore_frac_tile_err</t>
        </is>
      </c>
      <c r="B74" t="inlineStr">
        <is>
          <t>Porosity tile spread (within-image)</t>
        </is>
      </c>
      <c r="C74" t="inlineStr">
        <is>
          <t>fraction</t>
        </is>
      </c>
      <c r="D74" t="inlineStr">
        <is>
          <t>Uncertainty</t>
        </is>
      </c>
      <c r="E74" t="inlineStr">
        <is>
          <t>Within-image spatial spread of the measured porosity.</t>
        </is>
      </c>
      <c r="F74" t="inlineStr">
        <is>
          <t>1.96*sd/sqrt(n) of 5x5 tile fractions — a tile SE, NOT a jackknife and NOT repeat-acquisition uncertainty; tiles are spatially correlated so it understates.</t>
        </is>
      </c>
      <c r="G74" t="inlineStr"/>
      <c r="H74" t="inlineStr"/>
      <c r="I74" t="inlineStr">
        <is>
          <t>Heterogeneity diagnostic only — do not read as a measurement confidence interval.</t>
        </is>
      </c>
    </row>
    <row r="75">
      <c r="A75" t="inlineStr">
        <is>
          <t>si_frac_tile_err</t>
        </is>
      </c>
      <c r="B75" t="inlineStr">
        <is>
          <t>Si fraction tile spread (within-image)</t>
        </is>
      </c>
      <c r="C75" t="inlineStr">
        <is>
          <t>fraction</t>
        </is>
      </c>
      <c r="D75" t="inlineStr">
        <is>
          <t>Uncertainty</t>
        </is>
      </c>
      <c r="E75" t="inlineStr">
        <is>
          <t>Within-image spatial spread of the Si fraction.</t>
        </is>
      </c>
      <c r="F75" t="inlineStr">
        <is>
          <t>Same tile SE as pore_frac_tile_err (not a jackknife).</t>
        </is>
      </c>
      <c r="G75" t="inlineStr"/>
      <c r="H75" t="inlineStr"/>
      <c r="I75" t="inlineStr">
        <is>
          <t>Heterogeneity diagnostic only — do not read as a measurement confidence interval.</t>
        </is>
      </c>
    </row>
    <row r="76">
      <c r="A76" t="inlineStr">
        <is>
          <t>is_problem_photo</t>
        </is>
      </c>
      <c r="B76" t="inlineStr">
        <is>
          <t>Problem-photo flag</t>
        </is>
      </c>
      <c r="C76" t="inlineStr">
        <is>
          <t>0/1</t>
        </is>
      </c>
      <c r="D76" t="inlineStr">
        <is>
          <t>F. Imaging guards</t>
        </is>
      </c>
      <c r="E76" t="inlineStr">
        <is>
          <t>Low-contrast photo where Si may be overcounted.</t>
        </is>
      </c>
      <c r="F76" t="inlineStr">
        <is>
          <t>si_bulk_contrast below the pooled 5th percentile across all images.</t>
        </is>
      </c>
      <c r="G76" t="inlineStr"/>
      <c r="H76" t="inlineStr">
        <is>
          <t>Treat this photo's Si-derived markers with care; results reported with and without problem photos.</t>
        </is>
      </c>
      <c r="I76" t="inlineStr">
        <is>
          <t>Guard rail.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2026-10-04T13:16:46Z</dcterms:created>
  <dcterms:modified xmlns:dcterms="http://purl.org/dc/terms/" xmlns:xsi="http://www.w3.org/2001/XMLSchema-instance" xsi:type="dcterms:W3CDTF">2026-10-04T13:16:46Z</dcterms:modified>
</cp:coreProperties>
</file>